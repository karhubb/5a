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1" sheetId="1" r:id="rId4"/>
    <sheet state="visible" name="Test 2" sheetId="2" r:id="rId5"/>
    <sheet state="visible" name="Test 3" sheetId="3" r:id="rId6"/>
  </sheets>
  <definedNames/>
  <calcPr/>
</workbook>
</file>

<file path=xl/sharedStrings.xml><?xml version="1.0" encoding="utf-8"?>
<sst xmlns="http://schemas.openxmlformats.org/spreadsheetml/2006/main" count="93" uniqueCount="31">
  <si>
    <t>Parámetros de entrada:</t>
  </si>
  <si>
    <t>INPUT PARAMETERS:</t>
  </si>
  <si>
    <t xml:space="preserve">	p_target:</t>
  </si>
  <si>
    <t xml:space="preserve">	dof:</t>
  </si>
  <si>
    <t>acceptable_error:</t>
  </si>
  <si>
    <t xml:space="preserve">	initial x_guess:</t>
  </si>
  <si>
    <t>initial d:</t>
  </si>
  <si>
    <t>CURRENT INTEGRAL CALCULATION:</t>
  </si>
  <si>
    <t xml:space="preserve">	Current x:</t>
  </si>
  <si>
    <t>num_seg:</t>
  </si>
  <si>
    <t xml:space="preserve">	W = x/num_seg:</t>
  </si>
  <si>
    <t>W/3:</t>
  </si>
  <si>
    <t>Gamma constant:</t>
  </si>
  <si>
    <t>i</t>
  </si>
  <si>
    <t xml:space="preserve">	xi</t>
  </si>
  <si>
    <t xml:space="preserve">	p1 = 1+xi²/dof</t>
  </si>
  <si>
    <t xml:space="preserve">	p2 = p1^(-(dof+1)/2)</t>
  </si>
  <si>
    <t>f(xi)</t>
  </si>
  <si>
    <t xml:space="preserve">	mult</t>
  </si>
  <si>
    <t xml:space="preserve">        term</t>
  </si>
  <si>
    <t>F29: `Integral Result (I):`</t>
  </si>
  <si>
    <t xml:space="preserve">	SEARCH ALGORITHM ITERATIONS:</t>
  </si>
  <si>
    <t>Iter</t>
  </si>
  <si>
    <t>x_trial</t>
  </si>
  <si>
    <t xml:space="preserve">	I (integral)</t>
  </si>
  <si>
    <t xml:space="preserve">	error = I - p</t>
  </si>
  <si>
    <t>sign</t>
  </si>
  <si>
    <t>d</t>
  </si>
  <si>
    <t xml:space="preserve">	next_x</t>
  </si>
  <si>
    <t>status</t>
  </si>
  <si>
    <t xml:space="preserve">	x_copy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</si>
</sst>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8.5"/>
    <col customWidth="1" min="3" max="3" width="11.63"/>
    <col customWidth="1" min="4" max="4" width="16.25"/>
    <col customWidth="1" min="6" max="6" width="19.13"/>
  </cols>
  <sheetData>
    <row r="1">
      <c r="A1" s="1" t="s">
        <v>0</v>
      </c>
    </row>
    <row r="3">
      <c r="A3" s="2" t="s">
        <v>1</v>
      </c>
    </row>
    <row r="4">
      <c r="A4" s="2" t="s">
        <v>2</v>
      </c>
      <c r="B4" s="2">
        <v>0.2</v>
      </c>
    </row>
    <row r="5">
      <c r="A5" s="2" t="s">
        <v>3</v>
      </c>
      <c r="B5" s="2">
        <v>6.0</v>
      </c>
    </row>
    <row r="6">
      <c r="A6" s="2" t="s">
        <v>4</v>
      </c>
      <c r="B6" s="2">
        <v>1.0E-5</v>
      </c>
    </row>
    <row r="7">
      <c r="A7" s="2" t="s">
        <v>5</v>
      </c>
      <c r="B7" s="3">
        <v>1.0</v>
      </c>
    </row>
    <row r="8">
      <c r="A8" s="2" t="s">
        <v>6</v>
      </c>
      <c r="B8" s="2">
        <v>0.5</v>
      </c>
    </row>
    <row r="9">
      <c r="A9" s="1"/>
      <c r="B9" s="1"/>
    </row>
    <row r="10">
      <c r="A10" s="1" t="s">
        <v>7</v>
      </c>
    </row>
    <row r="11">
      <c r="A11" s="1" t="s">
        <v>8</v>
      </c>
      <c r="B11" s="4">
        <f t="array" ref="B11">IFERROR(INDIRECT("I" &amp; (ROW(A34)+MATCH(MIN(ABS($D$34:$D$53)), $D$34:$D$53, 0)-1)), $B$7)</f>
        <v>1</v>
      </c>
    </row>
    <row r="12">
      <c r="A12" s="2" t="s">
        <v>9</v>
      </c>
      <c r="B12" s="2">
        <v>10.0</v>
      </c>
    </row>
    <row r="13">
      <c r="A13" s="2" t="s">
        <v>10</v>
      </c>
      <c r="B13" s="2">
        <f>B11/B12</f>
        <v>0.1</v>
      </c>
    </row>
    <row r="14">
      <c r="A14" s="2" t="s">
        <v>11</v>
      </c>
      <c r="B14" s="4">
        <f>B13/3</f>
        <v>0.03333333333</v>
      </c>
    </row>
    <row r="15">
      <c r="A15" s="2" t="s">
        <v>12</v>
      </c>
      <c r="B15" s="4">
        <f>EXP(GAMMALN(($B$5+1)/2))/(($B$5*PI())^0.5*EXP(GAMMALN($B$5/2)))</f>
        <v>0.3827327723</v>
      </c>
    </row>
    <row r="17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19</v>
      </c>
    </row>
    <row r="18">
      <c r="A18" s="2">
        <v>0.0</v>
      </c>
      <c r="B18" s="2">
        <v>0.0</v>
      </c>
      <c r="C18" s="4">
        <f t="shared" ref="C18:C28" si="1">1+B18^2/$B$5</f>
        <v>1</v>
      </c>
      <c r="D18" s="4">
        <f t="shared" ref="D18:D28" si="2">C18^(-($B$5+1)/2)</f>
        <v>1</v>
      </c>
      <c r="E18" s="4">
        <f t="shared" ref="E18:E28" si="3">$B$15*D18</f>
        <v>0.3827327723</v>
      </c>
      <c r="F18" s="2">
        <v>1.0</v>
      </c>
      <c r="G18" s="2">
        <f>($B$15*(1+(B18)^2/$B$5)^(-($B$5+1)/2))*1*$B$14</f>
        <v>0.01275775908</v>
      </c>
    </row>
    <row r="19">
      <c r="A19" s="4">
        <f t="shared" ref="A19:A28" si="4">A18+1</f>
        <v>1</v>
      </c>
      <c r="B19" s="4">
        <f t="shared" ref="B19:B28" si="5">B18+$B$13</f>
        <v>0.1</v>
      </c>
      <c r="C19" s="4">
        <f t="shared" si="1"/>
        <v>1.001666667</v>
      </c>
      <c r="D19" s="4">
        <f t="shared" si="2"/>
        <v>0.994188475</v>
      </c>
      <c r="E19" s="4">
        <f t="shared" si="3"/>
        <v>0.3805085112</v>
      </c>
      <c r="F19" s="4">
        <f t="shared" ref="F19:F27" si="6">IF(MOD(A19,2)=1,4,2)</f>
        <v>4</v>
      </c>
      <c r="G19" s="4">
        <f t="shared" ref="G19:G27" si="7">($B$15*(1+(B19)^2/$B$5)^(-($B$5+1)/2))*IF(MOD(A19,2)=1,4,2)*$B$14</f>
        <v>0.05073446817</v>
      </c>
    </row>
    <row r="20">
      <c r="A20" s="4">
        <f t="shared" si="4"/>
        <v>2</v>
      </c>
      <c r="B20" s="4">
        <f t="shared" si="5"/>
        <v>0.2</v>
      </c>
      <c r="C20" s="4">
        <f t="shared" si="1"/>
        <v>1.006666667</v>
      </c>
      <c r="D20" s="4">
        <f t="shared" si="2"/>
        <v>0.9770124348</v>
      </c>
      <c r="E20" s="4">
        <f t="shared" si="3"/>
        <v>0.3739346777</v>
      </c>
      <c r="F20" s="4">
        <f t="shared" si="6"/>
        <v>2</v>
      </c>
      <c r="G20" s="4">
        <f t="shared" si="7"/>
        <v>0.02492897852</v>
      </c>
    </row>
    <row r="21">
      <c r="A21" s="4">
        <f t="shared" si="4"/>
        <v>3</v>
      </c>
      <c r="B21" s="4">
        <f t="shared" si="5"/>
        <v>0.3</v>
      </c>
      <c r="C21" s="4">
        <f t="shared" si="1"/>
        <v>1.015</v>
      </c>
      <c r="D21" s="4">
        <f t="shared" si="2"/>
        <v>0.94922431</v>
      </c>
      <c r="E21" s="4">
        <f t="shared" si="3"/>
        <v>0.3632992517</v>
      </c>
      <c r="F21" s="4">
        <f t="shared" si="6"/>
        <v>4</v>
      </c>
      <c r="G21" s="4">
        <f t="shared" si="7"/>
        <v>0.04843990023</v>
      </c>
    </row>
    <row r="22">
      <c r="A22" s="4">
        <f t="shared" si="4"/>
        <v>4</v>
      </c>
      <c r="B22" s="4">
        <f t="shared" si="5"/>
        <v>0.4</v>
      </c>
      <c r="C22" s="4">
        <f t="shared" si="1"/>
        <v>1.026666667</v>
      </c>
      <c r="D22" s="4">
        <f t="shared" si="2"/>
        <v>0.9120042953</v>
      </c>
      <c r="E22" s="4">
        <f t="shared" si="3"/>
        <v>0.3490539323</v>
      </c>
      <c r="F22" s="4">
        <f t="shared" si="6"/>
        <v>2</v>
      </c>
      <c r="G22" s="4">
        <f t="shared" si="7"/>
        <v>0.02327026215</v>
      </c>
    </row>
    <row r="23">
      <c r="A23" s="4">
        <f t="shared" si="4"/>
        <v>5</v>
      </c>
      <c r="B23" s="4">
        <f t="shared" si="5"/>
        <v>0.5</v>
      </c>
      <c r="C23" s="4">
        <f t="shared" si="1"/>
        <v>1.041666667</v>
      </c>
      <c r="D23" s="4">
        <f t="shared" si="2"/>
        <v>0.8668607028</v>
      </c>
      <c r="E23" s="4">
        <f t="shared" si="3"/>
        <v>0.331776</v>
      </c>
      <c r="F23" s="4">
        <f t="shared" si="6"/>
        <v>4</v>
      </c>
      <c r="G23" s="4">
        <f t="shared" si="7"/>
        <v>0.0442368</v>
      </c>
    </row>
    <row r="24">
      <c r="A24" s="4">
        <f t="shared" si="4"/>
        <v>6</v>
      </c>
      <c r="B24" s="4">
        <f t="shared" si="5"/>
        <v>0.6</v>
      </c>
      <c r="C24" s="4">
        <f t="shared" si="1"/>
        <v>1.06</v>
      </c>
      <c r="D24" s="4">
        <f t="shared" si="2"/>
        <v>0.8155103394</v>
      </c>
      <c r="E24" s="4">
        <f t="shared" si="3"/>
        <v>0.312122533</v>
      </c>
      <c r="F24" s="4">
        <f t="shared" si="6"/>
        <v>2</v>
      </c>
      <c r="G24" s="4">
        <f t="shared" si="7"/>
        <v>0.02080816887</v>
      </c>
    </row>
    <row r="25">
      <c r="A25" s="4">
        <f t="shared" si="4"/>
        <v>7</v>
      </c>
      <c r="B25" s="4">
        <f t="shared" si="5"/>
        <v>0.7</v>
      </c>
      <c r="C25" s="4">
        <f t="shared" si="1"/>
        <v>1.081666667</v>
      </c>
      <c r="D25" s="4">
        <f t="shared" si="2"/>
        <v>0.759753899</v>
      </c>
      <c r="E25" s="4">
        <f t="shared" si="3"/>
        <v>0.290782716</v>
      </c>
      <c r="F25" s="4">
        <f t="shared" si="6"/>
        <v>4</v>
      </c>
      <c r="G25" s="4">
        <f t="shared" si="7"/>
        <v>0.03877102881</v>
      </c>
    </row>
    <row r="26">
      <c r="A26" s="4">
        <f t="shared" si="4"/>
        <v>8</v>
      </c>
      <c r="B26" s="4">
        <f t="shared" si="5"/>
        <v>0.8</v>
      </c>
      <c r="C26" s="4">
        <f t="shared" si="1"/>
        <v>1.106666667</v>
      </c>
      <c r="D26" s="4">
        <f t="shared" si="2"/>
        <v>0.7013601696</v>
      </c>
      <c r="E26" s="4">
        <f t="shared" si="3"/>
        <v>0.2684335221</v>
      </c>
      <c r="F26" s="4">
        <f t="shared" si="6"/>
        <v>2</v>
      </c>
      <c r="G26" s="4">
        <f t="shared" si="7"/>
        <v>0.01789556814</v>
      </c>
    </row>
    <row r="27">
      <c r="A27" s="4">
        <f t="shared" si="4"/>
        <v>9</v>
      </c>
      <c r="B27" s="4">
        <f t="shared" si="5"/>
        <v>0.9</v>
      </c>
      <c r="C27" s="4">
        <f t="shared" si="1"/>
        <v>1.135</v>
      </c>
      <c r="D27" s="4">
        <f t="shared" si="2"/>
        <v>0.6419696322</v>
      </c>
      <c r="E27" s="4">
        <f t="shared" si="3"/>
        <v>0.2457028171</v>
      </c>
      <c r="F27" s="4">
        <f t="shared" si="6"/>
        <v>4</v>
      </c>
      <c r="G27" s="4">
        <f t="shared" si="7"/>
        <v>0.03276037561</v>
      </c>
    </row>
    <row r="28">
      <c r="A28" s="5">
        <f t="shared" si="4"/>
        <v>10</v>
      </c>
      <c r="B28" s="4">
        <f t="shared" si="5"/>
        <v>1</v>
      </c>
      <c r="C28" s="4">
        <f t="shared" si="1"/>
        <v>1.166666667</v>
      </c>
      <c r="D28" s="4">
        <f t="shared" si="2"/>
        <v>0.5830237363</v>
      </c>
      <c r="E28" s="4">
        <f t="shared" si="3"/>
        <v>0.2231422909</v>
      </c>
      <c r="F28" s="2">
        <v>1.0</v>
      </c>
      <c r="G28" s="2">
        <f>($B$15*(1+(B28)^2/$B$5)^(-($B$5+1)/2))*1*$B$14</f>
        <v>0.007438076364</v>
      </c>
    </row>
    <row r="29">
      <c r="F29" s="2" t="s">
        <v>20</v>
      </c>
      <c r="G29" s="4">
        <f>SUM(G18:G28)</f>
        <v>0.3220413859</v>
      </c>
    </row>
    <row r="32">
      <c r="A32" s="2" t="s">
        <v>21</v>
      </c>
    </row>
    <row r="33">
      <c r="A33" s="2" t="s">
        <v>22</v>
      </c>
      <c r="B33" s="2" t="s">
        <v>23</v>
      </c>
      <c r="C33" s="2" t="s">
        <v>24</v>
      </c>
      <c r="D33" s="2" t="s">
        <v>25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30</v>
      </c>
    </row>
    <row r="34">
      <c r="A34" s="5">
        <v>1.0</v>
      </c>
      <c r="B34" s="4">
        <f>$B$7</f>
        <v>1</v>
      </c>
      <c r="C34" s="4">
        <f t="shared" ref="C34:C53" si="8">0.5*(1 - _xlfn.T.DIST.2T(B34, $B$5))</f>
        <v>0.3220411581</v>
      </c>
      <c r="D34" s="4">
        <f t="shared" ref="D34:D53" si="9">C34-$B$4</f>
        <v>0.1220411581</v>
      </c>
      <c r="E34" s="4">
        <f t="shared" ref="E34:E53" si="10">SIGN(D34)</f>
        <v>1</v>
      </c>
      <c r="F34" s="4">
        <f>$B$8</f>
        <v>0.5</v>
      </c>
      <c r="G34" s="4">
        <f t="shared" ref="G34:G53" si="11">IF(D34&gt;0, B34-F34, B34+F34)</f>
        <v>0.5</v>
      </c>
      <c r="H34" s="6" t="str">
        <f t="shared" ref="H34:H53" si="12">IF(ABS(D34)&lt;$B$6,"CONVERGED","")</f>
        <v/>
      </c>
      <c r="I34" s="6">
        <f t="shared" ref="I34:I53" si="13">B34</f>
        <v>1</v>
      </c>
    </row>
    <row r="35">
      <c r="A35" s="4">
        <f t="shared" ref="A35:A53" si="14">A34+1</f>
        <v>2</v>
      </c>
      <c r="B35" s="2">
        <f t="shared" ref="B35:B53" si="15">IF(D34&gt;0, B34-F34, B34+F34)</f>
        <v>0.5</v>
      </c>
      <c r="C35" s="4">
        <f t="shared" si="8"/>
        <v>0.18256</v>
      </c>
      <c r="D35" s="2">
        <f t="shared" si="9"/>
        <v>-0.01744</v>
      </c>
      <c r="E35" s="4">
        <f t="shared" si="10"/>
        <v>-1</v>
      </c>
      <c r="F35" s="4">
        <f t="shared" ref="F35:F53" si="16">IF(E35&lt;&gt;E34, F34/2, F34)</f>
        <v>0.25</v>
      </c>
      <c r="G35" s="2">
        <f t="shared" si="11"/>
        <v>0.75</v>
      </c>
      <c r="H35" s="4" t="str">
        <f t="shared" si="12"/>
        <v/>
      </c>
      <c r="I35" s="6">
        <f t="shared" si="13"/>
        <v>0.5</v>
      </c>
    </row>
    <row r="36">
      <c r="A36" s="4">
        <f t="shared" si="14"/>
        <v>3</v>
      </c>
      <c r="B36" s="4">
        <f t="shared" si="15"/>
        <v>0.75</v>
      </c>
      <c r="C36" s="4">
        <f t="shared" si="8"/>
        <v>0.2591910928</v>
      </c>
      <c r="D36" s="2">
        <f t="shared" si="9"/>
        <v>0.05919109284</v>
      </c>
      <c r="E36" s="4">
        <f t="shared" si="10"/>
        <v>1</v>
      </c>
      <c r="F36" s="4">
        <f t="shared" si="16"/>
        <v>0.125</v>
      </c>
      <c r="G36" s="4">
        <f t="shared" si="11"/>
        <v>0.625</v>
      </c>
      <c r="H36" s="4" t="str">
        <f t="shared" si="12"/>
        <v/>
      </c>
      <c r="I36" s="6">
        <f t="shared" si="13"/>
        <v>0.75</v>
      </c>
    </row>
    <row r="37">
      <c r="A37" s="4">
        <f t="shared" si="14"/>
        <v>4</v>
      </c>
      <c r="B37" s="2">
        <f t="shared" si="15"/>
        <v>0.625</v>
      </c>
      <c r="C37" s="4">
        <f t="shared" si="8"/>
        <v>0.2225100882</v>
      </c>
      <c r="D37" s="2">
        <f t="shared" si="9"/>
        <v>0.02251008821</v>
      </c>
      <c r="E37" s="4">
        <f t="shared" si="10"/>
        <v>1</v>
      </c>
      <c r="F37" s="4">
        <f t="shared" si="16"/>
        <v>0.125</v>
      </c>
      <c r="G37" s="2">
        <f t="shared" si="11"/>
        <v>0.5</v>
      </c>
      <c r="H37" s="4" t="str">
        <f t="shared" si="12"/>
        <v/>
      </c>
      <c r="I37" s="6">
        <f t="shared" si="13"/>
        <v>0.625</v>
      </c>
    </row>
    <row r="38">
      <c r="A38" s="4">
        <f t="shared" si="14"/>
        <v>5</v>
      </c>
      <c r="B38" s="4">
        <f t="shared" si="15"/>
        <v>0.5</v>
      </c>
      <c r="C38" s="4">
        <f t="shared" si="8"/>
        <v>0.18256</v>
      </c>
      <c r="D38" s="2">
        <f t="shared" si="9"/>
        <v>-0.01744</v>
      </c>
      <c r="E38" s="4">
        <f t="shared" si="10"/>
        <v>-1</v>
      </c>
      <c r="F38" s="4">
        <f t="shared" si="16"/>
        <v>0.0625</v>
      </c>
      <c r="G38" s="4">
        <f t="shared" si="11"/>
        <v>0.5625</v>
      </c>
      <c r="H38" s="4" t="str">
        <f t="shared" si="12"/>
        <v/>
      </c>
      <c r="I38" s="6">
        <f t="shared" si="13"/>
        <v>0.5</v>
      </c>
    </row>
    <row r="39">
      <c r="A39" s="4">
        <f t="shared" si="14"/>
        <v>6</v>
      </c>
      <c r="B39" s="2">
        <f t="shared" si="15"/>
        <v>0.5625</v>
      </c>
      <c r="C39" s="4">
        <f t="shared" si="8"/>
        <v>0.2029238808</v>
      </c>
      <c r="D39" s="2">
        <f t="shared" si="9"/>
        <v>0.002923880769</v>
      </c>
      <c r="E39" s="4">
        <f t="shared" si="10"/>
        <v>1</v>
      </c>
      <c r="F39" s="4">
        <f t="shared" si="16"/>
        <v>0.03125</v>
      </c>
      <c r="G39" s="2">
        <f t="shared" si="11"/>
        <v>0.53125</v>
      </c>
      <c r="H39" s="4" t="str">
        <f t="shared" si="12"/>
        <v/>
      </c>
      <c r="I39" s="6">
        <f t="shared" si="13"/>
        <v>0.5625</v>
      </c>
    </row>
    <row r="40">
      <c r="A40" s="4">
        <f t="shared" si="14"/>
        <v>7</v>
      </c>
      <c r="B40" s="4">
        <f t="shared" si="15"/>
        <v>0.53125</v>
      </c>
      <c r="C40" s="4">
        <f t="shared" si="8"/>
        <v>0.1928360977</v>
      </c>
      <c r="D40" s="2">
        <f t="shared" si="9"/>
        <v>-0.007163902312</v>
      </c>
      <c r="E40" s="4">
        <f t="shared" si="10"/>
        <v>-1</v>
      </c>
      <c r="F40" s="4">
        <f t="shared" si="16"/>
        <v>0.015625</v>
      </c>
      <c r="G40" s="4">
        <f t="shared" si="11"/>
        <v>0.546875</v>
      </c>
      <c r="H40" s="4" t="str">
        <f t="shared" si="12"/>
        <v/>
      </c>
      <c r="I40" s="6">
        <f t="shared" si="13"/>
        <v>0.53125</v>
      </c>
    </row>
    <row r="41">
      <c r="A41" s="4">
        <f t="shared" si="14"/>
        <v>8</v>
      </c>
      <c r="B41" s="2">
        <f t="shared" si="15"/>
        <v>0.546875</v>
      </c>
      <c r="C41" s="4">
        <f t="shared" si="8"/>
        <v>0.1979039359</v>
      </c>
      <c r="D41" s="2">
        <f t="shared" si="9"/>
        <v>-0.002096064095</v>
      </c>
      <c r="E41" s="4">
        <f t="shared" si="10"/>
        <v>-1</v>
      </c>
      <c r="F41" s="4">
        <f t="shared" si="16"/>
        <v>0.015625</v>
      </c>
      <c r="G41" s="2">
        <f t="shared" si="11"/>
        <v>0.5625</v>
      </c>
      <c r="H41" s="4" t="str">
        <f t="shared" si="12"/>
        <v/>
      </c>
      <c r="I41" s="6">
        <f t="shared" si="13"/>
        <v>0.546875</v>
      </c>
    </row>
    <row r="42">
      <c r="A42" s="4">
        <f t="shared" si="14"/>
        <v>9</v>
      </c>
      <c r="B42" s="4">
        <f t="shared" si="15"/>
        <v>0.5625</v>
      </c>
      <c r="C42" s="4">
        <f t="shared" si="8"/>
        <v>0.2029238808</v>
      </c>
      <c r="D42" s="2">
        <f t="shared" si="9"/>
        <v>0.002923880769</v>
      </c>
      <c r="E42" s="4">
        <f t="shared" si="10"/>
        <v>1</v>
      </c>
      <c r="F42" s="4">
        <f t="shared" si="16"/>
        <v>0.0078125</v>
      </c>
      <c r="G42" s="4">
        <f t="shared" si="11"/>
        <v>0.5546875</v>
      </c>
      <c r="H42" s="4" t="str">
        <f t="shared" si="12"/>
        <v/>
      </c>
      <c r="I42" s="6">
        <f t="shared" si="13"/>
        <v>0.5625</v>
      </c>
    </row>
    <row r="43">
      <c r="A43" s="4">
        <f t="shared" si="14"/>
        <v>10</v>
      </c>
      <c r="B43" s="2">
        <f t="shared" si="15"/>
        <v>0.5546875</v>
      </c>
      <c r="C43" s="4">
        <f t="shared" si="8"/>
        <v>0.2004199437</v>
      </c>
      <c r="D43" s="2">
        <f t="shared" si="9"/>
        <v>0.0004199436648</v>
      </c>
      <c r="E43" s="4">
        <f t="shared" si="10"/>
        <v>1</v>
      </c>
      <c r="F43" s="4">
        <f t="shared" si="16"/>
        <v>0.0078125</v>
      </c>
      <c r="G43" s="2">
        <f t="shared" si="11"/>
        <v>0.546875</v>
      </c>
      <c r="H43" s="4" t="str">
        <f t="shared" si="12"/>
        <v/>
      </c>
      <c r="I43" s="6">
        <f t="shared" si="13"/>
        <v>0.5546875</v>
      </c>
    </row>
    <row r="44">
      <c r="A44" s="4">
        <f t="shared" si="14"/>
        <v>11</v>
      </c>
      <c r="B44" s="4">
        <f t="shared" si="15"/>
        <v>0.546875</v>
      </c>
      <c r="C44" s="4">
        <f t="shared" si="8"/>
        <v>0.1979039359</v>
      </c>
      <c r="D44" s="2">
        <f t="shared" si="9"/>
        <v>-0.002096064095</v>
      </c>
      <c r="E44" s="4">
        <f t="shared" si="10"/>
        <v>-1</v>
      </c>
      <c r="F44" s="4">
        <f t="shared" si="16"/>
        <v>0.00390625</v>
      </c>
      <c r="G44" s="4">
        <f t="shared" si="11"/>
        <v>0.55078125</v>
      </c>
      <c r="H44" s="4" t="str">
        <f t="shared" si="12"/>
        <v/>
      </c>
      <c r="I44" s="6">
        <f t="shared" si="13"/>
        <v>0.546875</v>
      </c>
    </row>
    <row r="45">
      <c r="A45" s="4">
        <f t="shared" si="14"/>
        <v>12</v>
      </c>
      <c r="B45" s="2">
        <f t="shared" si="15"/>
        <v>0.55078125</v>
      </c>
      <c r="C45" s="4">
        <f t="shared" si="8"/>
        <v>0.1991634426</v>
      </c>
      <c r="D45" s="2">
        <f t="shared" si="9"/>
        <v>-0.0008365573642</v>
      </c>
      <c r="E45" s="4">
        <f t="shared" si="10"/>
        <v>-1</v>
      </c>
      <c r="F45" s="4">
        <f t="shared" si="16"/>
        <v>0.00390625</v>
      </c>
      <c r="G45" s="2">
        <f t="shared" si="11"/>
        <v>0.5546875</v>
      </c>
      <c r="H45" s="4" t="str">
        <f t="shared" si="12"/>
        <v/>
      </c>
      <c r="I45" s="6">
        <f t="shared" si="13"/>
        <v>0.55078125</v>
      </c>
    </row>
    <row r="46">
      <c r="A46" s="4">
        <f t="shared" si="14"/>
        <v>13</v>
      </c>
      <c r="B46" s="4">
        <f t="shared" si="15"/>
        <v>0.5546875</v>
      </c>
      <c r="C46" s="4">
        <f t="shared" si="8"/>
        <v>0.2004199437</v>
      </c>
      <c r="D46" s="2">
        <f t="shared" si="9"/>
        <v>0.0004199436648</v>
      </c>
      <c r="E46" s="4">
        <f t="shared" si="10"/>
        <v>1</v>
      </c>
      <c r="F46" s="4">
        <f t="shared" si="16"/>
        <v>0.001953125</v>
      </c>
      <c r="G46" s="4">
        <f t="shared" si="11"/>
        <v>0.552734375</v>
      </c>
      <c r="H46" s="4" t="str">
        <f t="shared" si="12"/>
        <v/>
      </c>
      <c r="I46" s="6">
        <f t="shared" si="13"/>
        <v>0.5546875</v>
      </c>
    </row>
    <row r="47">
      <c r="A47" s="4">
        <f t="shared" si="14"/>
        <v>14</v>
      </c>
      <c r="B47" s="2">
        <f t="shared" si="15"/>
        <v>0.552734375</v>
      </c>
      <c r="C47" s="4">
        <f t="shared" si="8"/>
        <v>0.1997920696</v>
      </c>
      <c r="D47" s="2">
        <f t="shared" si="9"/>
        <v>-0.000207930383</v>
      </c>
      <c r="E47" s="4">
        <f t="shared" si="10"/>
        <v>-1</v>
      </c>
      <c r="F47" s="4">
        <f t="shared" si="16"/>
        <v>0.0009765625</v>
      </c>
      <c r="G47" s="2">
        <f t="shared" si="11"/>
        <v>0.5537109375</v>
      </c>
      <c r="H47" s="4" t="str">
        <f t="shared" si="12"/>
        <v/>
      </c>
      <c r="I47" s="6">
        <f t="shared" si="13"/>
        <v>0.552734375</v>
      </c>
    </row>
    <row r="48">
      <c r="A48" s="4">
        <f t="shared" si="14"/>
        <v>15</v>
      </c>
      <c r="B48" s="4">
        <f t="shared" si="15"/>
        <v>0.5537109375</v>
      </c>
      <c r="C48" s="4">
        <f t="shared" si="8"/>
        <v>0.2001061009</v>
      </c>
      <c r="D48" s="2">
        <f t="shared" si="9"/>
        <v>0.0001061008513</v>
      </c>
      <c r="E48" s="4">
        <f t="shared" si="10"/>
        <v>1</v>
      </c>
      <c r="F48" s="4">
        <f t="shared" si="16"/>
        <v>0.00048828125</v>
      </c>
      <c r="G48" s="4">
        <f t="shared" si="11"/>
        <v>0.5532226563</v>
      </c>
      <c r="H48" s="4" t="str">
        <f t="shared" si="12"/>
        <v/>
      </c>
      <c r="I48" s="6">
        <f t="shared" si="13"/>
        <v>0.5537109375</v>
      </c>
    </row>
    <row r="49">
      <c r="A49" s="4">
        <f t="shared" si="14"/>
        <v>16</v>
      </c>
      <c r="B49" s="2">
        <f t="shared" si="15"/>
        <v>0.5532226563</v>
      </c>
      <c r="C49" s="4">
        <f t="shared" si="8"/>
        <v>0.1999491088</v>
      </c>
      <c r="D49" s="2">
        <f t="shared" si="9"/>
        <v>-0.00005089122496</v>
      </c>
      <c r="E49" s="4">
        <f t="shared" si="10"/>
        <v>-1</v>
      </c>
      <c r="F49" s="4">
        <f t="shared" si="16"/>
        <v>0.000244140625</v>
      </c>
      <c r="G49" s="2">
        <f t="shared" si="11"/>
        <v>0.5534667969</v>
      </c>
      <c r="H49" s="4" t="str">
        <f t="shared" si="12"/>
        <v/>
      </c>
      <c r="I49" s="6">
        <f t="shared" si="13"/>
        <v>0.5532226563</v>
      </c>
    </row>
    <row r="50">
      <c r="A50" s="4">
        <f t="shared" si="14"/>
        <v>17</v>
      </c>
      <c r="B50" s="4">
        <f t="shared" si="15"/>
        <v>0.5534667969</v>
      </c>
      <c r="C50" s="4">
        <f t="shared" si="8"/>
        <v>0.2000276107</v>
      </c>
      <c r="D50" s="2">
        <f t="shared" si="9"/>
        <v>0.00002761069984</v>
      </c>
      <c r="E50" s="4">
        <f t="shared" si="10"/>
        <v>1</v>
      </c>
      <c r="F50" s="4">
        <f t="shared" si="16"/>
        <v>0.0001220703125</v>
      </c>
      <c r="G50" s="4">
        <f t="shared" si="11"/>
        <v>0.5533447266</v>
      </c>
      <c r="H50" s="4" t="str">
        <f t="shared" si="12"/>
        <v/>
      </c>
      <c r="I50" s="6">
        <f t="shared" si="13"/>
        <v>0.5534667969</v>
      </c>
    </row>
    <row r="51">
      <c r="A51" s="4">
        <f t="shared" si="14"/>
        <v>18</v>
      </c>
      <c r="B51" s="2">
        <f t="shared" si="15"/>
        <v>0.5533447266</v>
      </c>
      <c r="C51" s="4">
        <f t="shared" si="8"/>
        <v>0.1999883612</v>
      </c>
      <c r="D51" s="2">
        <f t="shared" si="9"/>
        <v>-0.00001163879107</v>
      </c>
      <c r="E51" s="4">
        <f t="shared" si="10"/>
        <v>-1</v>
      </c>
      <c r="F51" s="4">
        <f t="shared" si="16"/>
        <v>0.00006103515625</v>
      </c>
      <c r="G51" s="2">
        <f t="shared" si="11"/>
        <v>0.5534057617</v>
      </c>
      <c r="H51" s="4" t="str">
        <f t="shared" si="12"/>
        <v/>
      </c>
      <c r="I51" s="6">
        <f t="shared" si="13"/>
        <v>0.5533447266</v>
      </c>
    </row>
    <row r="52">
      <c r="A52" s="4">
        <f t="shared" si="14"/>
        <v>19</v>
      </c>
      <c r="B52" s="4">
        <f t="shared" si="15"/>
        <v>0.5534057617</v>
      </c>
      <c r="C52" s="4">
        <f t="shared" si="8"/>
        <v>0.2000079863</v>
      </c>
      <c r="D52" s="2">
        <f t="shared" si="9"/>
        <v>0.000007986322281</v>
      </c>
      <c r="E52" s="4">
        <f t="shared" si="10"/>
        <v>1</v>
      </c>
      <c r="F52" s="4">
        <f t="shared" si="16"/>
        <v>0.00003051757813</v>
      </c>
      <c r="G52" s="4">
        <f t="shared" si="11"/>
        <v>0.5533752441</v>
      </c>
      <c r="H52" s="4" t="str">
        <f t="shared" si="12"/>
        <v>CONVERGED</v>
      </c>
      <c r="I52" s="6">
        <f t="shared" si="13"/>
        <v>0.5534057617</v>
      </c>
    </row>
    <row r="53">
      <c r="A53" s="4">
        <f t="shared" si="14"/>
        <v>20</v>
      </c>
      <c r="B53" s="2">
        <f t="shared" si="15"/>
        <v>0.5533752441</v>
      </c>
      <c r="C53" s="4">
        <f t="shared" si="8"/>
        <v>0.1999981739</v>
      </c>
      <c r="D53" s="2">
        <f t="shared" si="9"/>
        <v>-0.000001826142424</v>
      </c>
      <c r="E53" s="4">
        <f t="shared" si="10"/>
        <v>-1</v>
      </c>
      <c r="F53" s="4">
        <f t="shared" si="16"/>
        <v>0.00001525878906</v>
      </c>
      <c r="G53" s="2">
        <f t="shared" si="11"/>
        <v>0.5533905029</v>
      </c>
      <c r="H53" s="4" t="str">
        <f t="shared" si="12"/>
        <v>CONVERGED</v>
      </c>
      <c r="I53" s="6">
        <f t="shared" si="13"/>
        <v>0.5533752441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8.5"/>
    <col customWidth="1" min="3" max="3" width="11.63"/>
    <col customWidth="1" min="4" max="4" width="16.25"/>
    <col customWidth="1" min="6" max="6" width="19.13"/>
  </cols>
  <sheetData>
    <row r="1">
      <c r="A1" s="1" t="s">
        <v>0</v>
      </c>
    </row>
    <row r="3">
      <c r="A3" s="2" t="s">
        <v>1</v>
      </c>
    </row>
    <row r="4">
      <c r="A4" s="2" t="s">
        <v>2</v>
      </c>
      <c r="B4" s="2">
        <v>0.45</v>
      </c>
    </row>
    <row r="5">
      <c r="A5" s="2" t="s">
        <v>3</v>
      </c>
      <c r="B5" s="2">
        <v>15.0</v>
      </c>
    </row>
    <row r="6">
      <c r="A6" s="2" t="s">
        <v>4</v>
      </c>
      <c r="B6" s="2">
        <v>1.0E-5</v>
      </c>
    </row>
    <row r="7">
      <c r="A7" s="2" t="s">
        <v>5</v>
      </c>
      <c r="B7" s="3">
        <v>1.0</v>
      </c>
    </row>
    <row r="8">
      <c r="A8" s="2" t="s">
        <v>6</v>
      </c>
      <c r="B8" s="2">
        <v>0.5</v>
      </c>
    </row>
    <row r="9">
      <c r="A9" s="1"/>
      <c r="B9" s="1"/>
    </row>
    <row r="10">
      <c r="A10" s="1" t="s">
        <v>7</v>
      </c>
    </row>
    <row r="11">
      <c r="A11" s="1" t="s">
        <v>8</v>
      </c>
      <c r="B11" s="4">
        <f t="array" ref="B11">IFERROR(INDIRECT("I" &amp; (ROW(A34)+MATCH(MIN(ABS($D$34:$D$53)), $D$34:$D$53, 0)-1)), $B$7)</f>
        <v>1</v>
      </c>
    </row>
    <row r="12">
      <c r="A12" s="2" t="s">
        <v>9</v>
      </c>
      <c r="B12" s="2">
        <v>10.0</v>
      </c>
    </row>
    <row r="13">
      <c r="A13" s="2" t="s">
        <v>10</v>
      </c>
      <c r="B13" s="2">
        <f>B11/B12</f>
        <v>0.1</v>
      </c>
    </row>
    <row r="14">
      <c r="A14" s="2" t="s">
        <v>11</v>
      </c>
      <c r="B14" s="4">
        <f>B13/3</f>
        <v>0.03333333333</v>
      </c>
    </row>
    <row r="15">
      <c r="A15" s="2" t="s">
        <v>12</v>
      </c>
      <c r="B15" s="4">
        <f>EXP(GAMMALN(($B$5+1)/2))/(($B$5*PI())^0.5*EXP(GAMMALN($B$5/2)))</f>
        <v>0.3923531628</v>
      </c>
    </row>
    <row r="17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19</v>
      </c>
    </row>
    <row r="18">
      <c r="A18" s="2">
        <v>0.0</v>
      </c>
      <c r="B18" s="2">
        <v>0.0</v>
      </c>
      <c r="C18" s="4">
        <f t="shared" ref="C18:C28" si="1">1+B18^2/$B$5</f>
        <v>1</v>
      </c>
      <c r="D18" s="4">
        <f t="shared" ref="D18:D28" si="2">C18^(-($B$5+1)/2)</f>
        <v>1</v>
      </c>
      <c r="E18" s="4">
        <f t="shared" ref="E18:E28" si="3">$B$15*D18</f>
        <v>0.3923531628</v>
      </c>
      <c r="F18" s="2">
        <v>1.0</v>
      </c>
      <c r="G18" s="2">
        <f>($B$15*(1+(B18)^2/$B$5)^(-($B$5+1)/2))*1*$B$14</f>
        <v>0.01307843876</v>
      </c>
    </row>
    <row r="19">
      <c r="A19" s="4">
        <f t="shared" ref="A19:A28" si="4">A18+1</f>
        <v>1</v>
      </c>
      <c r="B19" s="4">
        <f t="shared" ref="B19:B28" si="5">B18+$B$13</f>
        <v>0.1</v>
      </c>
      <c r="C19" s="4">
        <f t="shared" si="1"/>
        <v>1.000666667</v>
      </c>
      <c r="D19" s="4">
        <f t="shared" si="2"/>
        <v>0.9946826312</v>
      </c>
      <c r="E19" s="4">
        <f t="shared" si="3"/>
        <v>0.3902668764</v>
      </c>
      <c r="F19" s="4">
        <f t="shared" ref="F19:F27" si="6">IF(MOD(A19,2)=1,4,2)</f>
        <v>4</v>
      </c>
      <c r="G19" s="4">
        <f t="shared" ref="G19:G27" si="7">($B$15*(1+(B19)^2/$B$5)^(-($B$5+1)/2))*IF(MOD(A19,2)=1,4,2)*$B$14</f>
        <v>0.05203558352</v>
      </c>
    </row>
    <row r="20">
      <c r="A20" s="4">
        <f t="shared" si="4"/>
        <v>2</v>
      </c>
      <c r="B20" s="4">
        <f t="shared" si="5"/>
        <v>0.2</v>
      </c>
      <c r="C20" s="4">
        <f t="shared" si="1"/>
        <v>1.002666667</v>
      </c>
      <c r="D20" s="4">
        <f t="shared" si="2"/>
        <v>0.9789204077</v>
      </c>
      <c r="E20" s="4">
        <f t="shared" si="3"/>
        <v>0.3840825181</v>
      </c>
      <c r="F20" s="4">
        <f t="shared" si="6"/>
        <v>2</v>
      </c>
      <c r="G20" s="4">
        <f t="shared" si="7"/>
        <v>0.02560550121</v>
      </c>
    </row>
    <row r="21">
      <c r="A21" s="4">
        <f t="shared" si="4"/>
        <v>3</v>
      </c>
      <c r="B21" s="4">
        <f t="shared" si="5"/>
        <v>0.3</v>
      </c>
      <c r="C21" s="4">
        <f t="shared" si="1"/>
        <v>1.006</v>
      </c>
      <c r="D21" s="4">
        <f t="shared" si="2"/>
        <v>0.9532705016</v>
      </c>
      <c r="E21" s="4">
        <f t="shared" si="3"/>
        <v>0.3740186963</v>
      </c>
      <c r="F21" s="4">
        <f t="shared" si="6"/>
        <v>4</v>
      </c>
      <c r="G21" s="4">
        <f t="shared" si="7"/>
        <v>0.04986915951</v>
      </c>
    </row>
    <row r="22">
      <c r="A22" s="4">
        <f t="shared" si="4"/>
        <v>4</v>
      </c>
      <c r="B22" s="4">
        <f t="shared" si="5"/>
        <v>0.4</v>
      </c>
      <c r="C22" s="4">
        <f t="shared" si="1"/>
        <v>1.010666667</v>
      </c>
      <c r="D22" s="4">
        <f t="shared" si="2"/>
        <v>0.9186211962</v>
      </c>
      <c r="E22" s="4">
        <f t="shared" si="3"/>
        <v>0.3604239318</v>
      </c>
      <c r="F22" s="4">
        <f t="shared" si="6"/>
        <v>2</v>
      </c>
      <c r="G22" s="4">
        <f t="shared" si="7"/>
        <v>0.02402826212</v>
      </c>
    </row>
    <row r="23">
      <c r="A23" s="4">
        <f t="shared" si="4"/>
        <v>5</v>
      </c>
      <c r="B23" s="4">
        <f t="shared" si="5"/>
        <v>0.5</v>
      </c>
      <c r="C23" s="4">
        <f t="shared" si="1"/>
        <v>1.016666667</v>
      </c>
      <c r="D23" s="4">
        <f t="shared" si="2"/>
        <v>0.8761355911</v>
      </c>
      <c r="E23" s="4">
        <f t="shared" si="3"/>
        <v>0.3437545703</v>
      </c>
      <c r="F23" s="4">
        <f t="shared" si="6"/>
        <v>4</v>
      </c>
      <c r="G23" s="4">
        <f t="shared" si="7"/>
        <v>0.0458339427</v>
      </c>
    </row>
    <row r="24">
      <c r="A24" s="4">
        <f t="shared" si="4"/>
        <v>6</v>
      </c>
      <c r="B24" s="4">
        <f t="shared" si="5"/>
        <v>0.6</v>
      </c>
      <c r="C24" s="4">
        <f t="shared" si="1"/>
        <v>1.024</v>
      </c>
      <c r="D24" s="4">
        <f t="shared" si="2"/>
        <v>0.8271806126</v>
      </c>
      <c r="E24" s="4">
        <f t="shared" si="3"/>
        <v>0.3245469296</v>
      </c>
      <c r="F24" s="4">
        <f t="shared" si="6"/>
        <v>2</v>
      </c>
      <c r="G24" s="4">
        <f t="shared" si="7"/>
        <v>0.02163646197</v>
      </c>
    </row>
    <row r="25">
      <c r="A25" s="4">
        <f t="shared" si="4"/>
        <v>7</v>
      </c>
      <c r="B25" s="4">
        <f t="shared" si="5"/>
        <v>0.7</v>
      </c>
      <c r="C25" s="4">
        <f t="shared" si="1"/>
        <v>1.032666667</v>
      </c>
      <c r="D25" s="4">
        <f t="shared" si="2"/>
        <v>0.7732478665</v>
      </c>
      <c r="E25" s="4">
        <f t="shared" si="3"/>
        <v>0.3033862461</v>
      </c>
      <c r="F25" s="4">
        <f t="shared" si="6"/>
        <v>4</v>
      </c>
      <c r="G25" s="4">
        <f t="shared" si="7"/>
        <v>0.04045149948</v>
      </c>
    </row>
    <row r="26">
      <c r="A26" s="4">
        <f t="shared" si="4"/>
        <v>8</v>
      </c>
      <c r="B26" s="4">
        <f t="shared" si="5"/>
        <v>0.8</v>
      </c>
      <c r="C26" s="4">
        <f t="shared" si="1"/>
        <v>1.042666667</v>
      </c>
      <c r="D26" s="4">
        <f t="shared" si="2"/>
        <v>0.7158731646</v>
      </c>
      <c r="E26" s="4">
        <f t="shared" si="3"/>
        <v>0.2808751003</v>
      </c>
      <c r="F26" s="4">
        <f t="shared" si="6"/>
        <v>2</v>
      </c>
      <c r="G26" s="4">
        <f t="shared" si="7"/>
        <v>0.01872500669</v>
      </c>
    </row>
    <row r="27">
      <c r="A27" s="4">
        <f t="shared" si="4"/>
        <v>9</v>
      </c>
      <c r="B27" s="4">
        <f t="shared" si="5"/>
        <v>0.9</v>
      </c>
      <c r="C27" s="4">
        <f t="shared" si="1"/>
        <v>1.054</v>
      </c>
      <c r="D27" s="4">
        <f t="shared" si="2"/>
        <v>0.656561047</v>
      </c>
      <c r="E27" s="4">
        <f t="shared" si="3"/>
        <v>0.2576038034</v>
      </c>
      <c r="F27" s="4">
        <f t="shared" si="6"/>
        <v>4</v>
      </c>
      <c r="G27" s="4">
        <f t="shared" si="7"/>
        <v>0.03434717379</v>
      </c>
    </row>
    <row r="28">
      <c r="A28" s="5">
        <f t="shared" si="4"/>
        <v>10</v>
      </c>
      <c r="B28" s="4">
        <f t="shared" si="5"/>
        <v>1</v>
      </c>
      <c r="C28" s="4">
        <f t="shared" si="1"/>
        <v>1.066666667</v>
      </c>
      <c r="D28" s="4">
        <f t="shared" si="2"/>
        <v>0.5967194738</v>
      </c>
      <c r="E28" s="4">
        <f t="shared" si="3"/>
        <v>0.2341247729</v>
      </c>
      <c r="F28" s="2">
        <v>1.0</v>
      </c>
      <c r="G28" s="2">
        <f>($B$15*(1+(B28)^2/$B$5)^(-($B$5+1)/2))*1*$B$14</f>
        <v>0.007804159096</v>
      </c>
    </row>
    <row r="29">
      <c r="F29" s="2" t="s">
        <v>20</v>
      </c>
      <c r="G29" s="4">
        <f>SUM(G18:G28)</f>
        <v>0.3334151888</v>
      </c>
    </row>
    <row r="32">
      <c r="A32" s="2" t="s">
        <v>21</v>
      </c>
    </row>
    <row r="33">
      <c r="A33" s="2" t="s">
        <v>22</v>
      </c>
      <c r="B33" s="2" t="s">
        <v>23</v>
      </c>
      <c r="C33" s="2" t="s">
        <v>24</v>
      </c>
      <c r="D33" s="2" t="s">
        <v>25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30</v>
      </c>
    </row>
    <row r="34">
      <c r="A34" s="5">
        <v>1.0</v>
      </c>
      <c r="B34" s="4">
        <f>$B$7</f>
        <v>1</v>
      </c>
      <c r="C34" s="4">
        <f t="shared" ref="C34:C53" si="8">0.5*(1 - _xlfn.T.DIST.2T(B34, $B$5))</f>
        <v>0.333414932</v>
      </c>
      <c r="D34" s="4">
        <f t="shared" ref="D34:D53" si="9">C34-$B$4</f>
        <v>-0.116585068</v>
      </c>
      <c r="E34" s="4">
        <f t="shared" ref="E34:E53" si="10">SIGN(D34)</f>
        <v>-1</v>
      </c>
      <c r="F34" s="4">
        <f>$B$8</f>
        <v>0.5</v>
      </c>
      <c r="G34" s="4">
        <f t="shared" ref="G34:G53" si="11">IF(D34&gt;0, B34-F34, B34+F34)</f>
        <v>1.5</v>
      </c>
      <c r="H34" s="6" t="str">
        <f t="shared" ref="H34:H53" si="12">IF(ABS(D34)&lt;$B$6,"CONVERGED","")</f>
        <v/>
      </c>
      <c r="I34" s="6">
        <f t="shared" ref="I34:I53" si="13">B34</f>
        <v>1</v>
      </c>
    </row>
    <row r="35">
      <c r="A35" s="4">
        <f t="shared" ref="A35:A53" si="14">A34+1</f>
        <v>2</v>
      </c>
      <c r="B35" s="2">
        <f t="shared" ref="B35:B53" si="15">IF(D34&gt;0, B34-F34, B34+F34)</f>
        <v>1.5</v>
      </c>
      <c r="C35" s="4">
        <f t="shared" si="8"/>
        <v>0.4228166698</v>
      </c>
      <c r="D35" s="2">
        <f t="shared" si="9"/>
        <v>-0.02718333019</v>
      </c>
      <c r="E35" s="4">
        <f t="shared" si="10"/>
        <v>-1</v>
      </c>
      <c r="F35" s="4">
        <f t="shared" ref="F35:F53" si="16">IF(E35&lt;&gt;E34, F34/2, F34)</f>
        <v>0.5</v>
      </c>
      <c r="G35" s="2">
        <f t="shared" si="11"/>
        <v>2</v>
      </c>
      <c r="H35" s="4" t="str">
        <f t="shared" si="12"/>
        <v/>
      </c>
      <c r="I35" s="6">
        <f t="shared" si="13"/>
        <v>1.5</v>
      </c>
    </row>
    <row r="36">
      <c r="A36" s="4">
        <f t="shared" si="14"/>
        <v>3</v>
      </c>
      <c r="B36" s="4">
        <f t="shared" si="15"/>
        <v>2</v>
      </c>
      <c r="C36" s="4">
        <f t="shared" si="8"/>
        <v>0.4680274964</v>
      </c>
      <c r="D36" s="2">
        <f t="shared" si="9"/>
        <v>0.01802749636</v>
      </c>
      <c r="E36" s="4">
        <f t="shared" si="10"/>
        <v>1</v>
      </c>
      <c r="F36" s="4">
        <f t="shared" si="16"/>
        <v>0.25</v>
      </c>
      <c r="G36" s="4">
        <f t="shared" si="11"/>
        <v>1.75</v>
      </c>
      <c r="H36" s="4" t="str">
        <f t="shared" si="12"/>
        <v/>
      </c>
      <c r="I36" s="6">
        <f t="shared" si="13"/>
        <v>2</v>
      </c>
    </row>
    <row r="37">
      <c r="A37" s="4">
        <f t="shared" si="14"/>
        <v>4</v>
      </c>
      <c r="B37" s="2">
        <f t="shared" si="15"/>
        <v>1.75</v>
      </c>
      <c r="C37" s="4">
        <f t="shared" si="8"/>
        <v>0.4497299103</v>
      </c>
      <c r="D37" s="2">
        <f t="shared" si="9"/>
        <v>-0.000270089715</v>
      </c>
      <c r="E37" s="4">
        <f t="shared" si="10"/>
        <v>-1</v>
      </c>
      <c r="F37" s="4">
        <f t="shared" si="16"/>
        <v>0.125</v>
      </c>
      <c r="G37" s="2">
        <f t="shared" si="11"/>
        <v>1.875</v>
      </c>
      <c r="H37" s="4" t="str">
        <f t="shared" si="12"/>
        <v/>
      </c>
      <c r="I37" s="6">
        <f t="shared" si="13"/>
        <v>1.75</v>
      </c>
    </row>
    <row r="38">
      <c r="A38" s="4">
        <f t="shared" si="14"/>
        <v>5</v>
      </c>
      <c r="B38" s="4">
        <f t="shared" si="15"/>
        <v>1.875</v>
      </c>
      <c r="C38" s="4">
        <f t="shared" si="8"/>
        <v>0.4598010813</v>
      </c>
      <c r="D38" s="2">
        <f t="shared" si="9"/>
        <v>0.009801081285</v>
      </c>
      <c r="E38" s="4">
        <f t="shared" si="10"/>
        <v>1</v>
      </c>
      <c r="F38" s="4">
        <f t="shared" si="16"/>
        <v>0.0625</v>
      </c>
      <c r="G38" s="4">
        <f t="shared" si="11"/>
        <v>1.8125</v>
      </c>
      <c r="H38" s="4" t="str">
        <f t="shared" si="12"/>
        <v/>
      </c>
      <c r="I38" s="6">
        <f t="shared" si="13"/>
        <v>1.875</v>
      </c>
    </row>
    <row r="39">
      <c r="A39" s="4">
        <f t="shared" si="14"/>
        <v>6</v>
      </c>
      <c r="B39" s="2">
        <f t="shared" si="15"/>
        <v>1.8125</v>
      </c>
      <c r="C39" s="4">
        <f t="shared" si="8"/>
        <v>0.4550148</v>
      </c>
      <c r="D39" s="2">
        <f t="shared" si="9"/>
        <v>0.005014799982</v>
      </c>
      <c r="E39" s="4">
        <f t="shared" si="10"/>
        <v>1</v>
      </c>
      <c r="F39" s="4">
        <f t="shared" si="16"/>
        <v>0.0625</v>
      </c>
      <c r="G39" s="2">
        <f t="shared" si="11"/>
        <v>1.75</v>
      </c>
      <c r="H39" s="4" t="str">
        <f t="shared" si="12"/>
        <v/>
      </c>
      <c r="I39" s="6">
        <f t="shared" si="13"/>
        <v>1.8125</v>
      </c>
    </row>
    <row r="40">
      <c r="A40" s="4">
        <f t="shared" si="14"/>
        <v>7</v>
      </c>
      <c r="B40" s="4">
        <f t="shared" si="15"/>
        <v>1.75</v>
      </c>
      <c r="C40" s="4">
        <f t="shared" si="8"/>
        <v>0.4497299103</v>
      </c>
      <c r="D40" s="2">
        <f t="shared" si="9"/>
        <v>-0.000270089715</v>
      </c>
      <c r="E40" s="4">
        <f t="shared" si="10"/>
        <v>-1</v>
      </c>
      <c r="F40" s="4">
        <f t="shared" si="16"/>
        <v>0.03125</v>
      </c>
      <c r="G40" s="4">
        <f t="shared" si="11"/>
        <v>1.78125</v>
      </c>
      <c r="H40" s="4" t="str">
        <f t="shared" si="12"/>
        <v/>
      </c>
      <c r="I40" s="6">
        <f t="shared" si="13"/>
        <v>1.75</v>
      </c>
    </row>
    <row r="41">
      <c r="A41" s="4">
        <f t="shared" si="14"/>
        <v>8</v>
      </c>
      <c r="B41" s="2">
        <f t="shared" si="15"/>
        <v>1.78125</v>
      </c>
      <c r="C41" s="4">
        <f t="shared" si="8"/>
        <v>0.452437089</v>
      </c>
      <c r="D41" s="2">
        <f t="shared" si="9"/>
        <v>0.002437089013</v>
      </c>
      <c r="E41" s="4">
        <f t="shared" si="10"/>
        <v>1</v>
      </c>
      <c r="F41" s="4">
        <f t="shared" si="16"/>
        <v>0.015625</v>
      </c>
      <c r="G41" s="2">
        <f t="shared" si="11"/>
        <v>1.765625</v>
      </c>
      <c r="H41" s="4" t="str">
        <f t="shared" si="12"/>
        <v/>
      </c>
      <c r="I41" s="6">
        <f t="shared" si="13"/>
        <v>1.78125</v>
      </c>
    </row>
    <row r="42">
      <c r="A42" s="4">
        <f t="shared" si="14"/>
        <v>9</v>
      </c>
      <c r="B42" s="4">
        <f t="shared" si="15"/>
        <v>1.765625</v>
      </c>
      <c r="C42" s="4">
        <f t="shared" si="8"/>
        <v>0.4510999877</v>
      </c>
      <c r="D42" s="2">
        <f t="shared" si="9"/>
        <v>0.001099987723</v>
      </c>
      <c r="E42" s="4">
        <f t="shared" si="10"/>
        <v>1</v>
      </c>
      <c r="F42" s="4">
        <f t="shared" si="16"/>
        <v>0.015625</v>
      </c>
      <c r="G42" s="4">
        <f t="shared" si="11"/>
        <v>1.75</v>
      </c>
      <c r="H42" s="4" t="str">
        <f t="shared" si="12"/>
        <v/>
      </c>
      <c r="I42" s="6">
        <f t="shared" si="13"/>
        <v>1.765625</v>
      </c>
    </row>
    <row r="43">
      <c r="A43" s="4">
        <f t="shared" si="14"/>
        <v>10</v>
      </c>
      <c r="B43" s="2">
        <f t="shared" si="15"/>
        <v>1.75</v>
      </c>
      <c r="C43" s="4">
        <f t="shared" si="8"/>
        <v>0.4497299103</v>
      </c>
      <c r="D43" s="2">
        <f t="shared" si="9"/>
        <v>-0.000270089715</v>
      </c>
      <c r="E43" s="4">
        <f t="shared" si="10"/>
        <v>-1</v>
      </c>
      <c r="F43" s="4">
        <f t="shared" si="16"/>
        <v>0.0078125</v>
      </c>
      <c r="G43" s="2">
        <f t="shared" si="11"/>
        <v>1.7578125</v>
      </c>
      <c r="H43" s="4" t="str">
        <f t="shared" si="12"/>
        <v/>
      </c>
      <c r="I43" s="6">
        <f t="shared" si="13"/>
        <v>1.75</v>
      </c>
    </row>
    <row r="44">
      <c r="A44" s="4">
        <f t="shared" si="14"/>
        <v>11</v>
      </c>
      <c r="B44" s="4">
        <f t="shared" si="15"/>
        <v>1.7578125</v>
      </c>
      <c r="C44" s="4">
        <f t="shared" si="8"/>
        <v>0.4504191093</v>
      </c>
      <c r="D44" s="2">
        <f t="shared" si="9"/>
        <v>0.0004191092998</v>
      </c>
      <c r="E44" s="4">
        <f t="shared" si="10"/>
        <v>1</v>
      </c>
      <c r="F44" s="4">
        <f t="shared" si="16"/>
        <v>0.00390625</v>
      </c>
      <c r="G44" s="4">
        <f t="shared" si="11"/>
        <v>1.75390625</v>
      </c>
      <c r="H44" s="4" t="str">
        <f t="shared" si="12"/>
        <v/>
      </c>
      <c r="I44" s="6">
        <f t="shared" si="13"/>
        <v>1.7578125</v>
      </c>
    </row>
    <row r="45">
      <c r="A45" s="4">
        <f t="shared" si="14"/>
        <v>12</v>
      </c>
      <c r="B45" s="2">
        <f t="shared" si="15"/>
        <v>1.75390625</v>
      </c>
      <c r="C45" s="4">
        <f t="shared" si="8"/>
        <v>0.4500755547</v>
      </c>
      <c r="D45" s="2">
        <f t="shared" si="9"/>
        <v>0.00007555466276</v>
      </c>
      <c r="E45" s="4">
        <f t="shared" si="10"/>
        <v>1</v>
      </c>
      <c r="F45" s="4">
        <f t="shared" si="16"/>
        <v>0.00390625</v>
      </c>
      <c r="G45" s="2">
        <f t="shared" si="11"/>
        <v>1.75</v>
      </c>
      <c r="H45" s="4" t="str">
        <f t="shared" si="12"/>
        <v/>
      </c>
      <c r="I45" s="6">
        <f t="shared" si="13"/>
        <v>1.75390625</v>
      </c>
    </row>
    <row r="46">
      <c r="A46" s="4">
        <f t="shared" si="14"/>
        <v>13</v>
      </c>
      <c r="B46" s="4">
        <f t="shared" si="15"/>
        <v>1.75</v>
      </c>
      <c r="C46" s="4">
        <f t="shared" si="8"/>
        <v>0.4497299103</v>
      </c>
      <c r="D46" s="2">
        <f t="shared" si="9"/>
        <v>-0.000270089715</v>
      </c>
      <c r="E46" s="4">
        <f t="shared" si="10"/>
        <v>-1</v>
      </c>
      <c r="F46" s="4">
        <f t="shared" si="16"/>
        <v>0.001953125</v>
      </c>
      <c r="G46" s="4">
        <f t="shared" si="11"/>
        <v>1.751953125</v>
      </c>
      <c r="H46" s="4" t="str">
        <f t="shared" si="12"/>
        <v/>
      </c>
      <c r="I46" s="6">
        <f t="shared" si="13"/>
        <v>1.75</v>
      </c>
    </row>
    <row r="47">
      <c r="A47" s="4">
        <f t="shared" si="14"/>
        <v>14</v>
      </c>
      <c r="B47" s="2">
        <f t="shared" si="15"/>
        <v>1.751953125</v>
      </c>
      <c r="C47" s="4">
        <f t="shared" si="8"/>
        <v>0.4499029943</v>
      </c>
      <c r="D47" s="2">
        <f t="shared" si="9"/>
        <v>-0.00009700570828</v>
      </c>
      <c r="E47" s="4">
        <f t="shared" si="10"/>
        <v>-1</v>
      </c>
      <c r="F47" s="4">
        <f t="shared" si="16"/>
        <v>0.001953125</v>
      </c>
      <c r="G47" s="2">
        <f t="shared" si="11"/>
        <v>1.75390625</v>
      </c>
      <c r="H47" s="4" t="str">
        <f t="shared" si="12"/>
        <v/>
      </c>
      <c r="I47" s="6">
        <f t="shared" si="13"/>
        <v>1.751953125</v>
      </c>
    </row>
    <row r="48">
      <c r="A48" s="4">
        <f t="shared" si="14"/>
        <v>15</v>
      </c>
      <c r="B48" s="4">
        <f t="shared" si="15"/>
        <v>1.75390625</v>
      </c>
      <c r="C48" s="4">
        <f t="shared" si="8"/>
        <v>0.4500755547</v>
      </c>
      <c r="D48" s="2">
        <f t="shared" si="9"/>
        <v>0.00007555466276</v>
      </c>
      <c r="E48" s="4">
        <f t="shared" si="10"/>
        <v>1</v>
      </c>
      <c r="F48" s="4">
        <f t="shared" si="16"/>
        <v>0.0009765625</v>
      </c>
      <c r="G48" s="4">
        <f t="shared" si="11"/>
        <v>1.752929688</v>
      </c>
      <c r="H48" s="4" t="str">
        <f t="shared" si="12"/>
        <v/>
      </c>
      <c r="I48" s="6">
        <f t="shared" si="13"/>
        <v>1.75390625</v>
      </c>
    </row>
    <row r="49">
      <c r="A49" s="4">
        <f t="shared" si="14"/>
        <v>16</v>
      </c>
      <c r="B49" s="2">
        <f t="shared" si="15"/>
        <v>1.752929688</v>
      </c>
      <c r="C49" s="4">
        <f t="shared" si="8"/>
        <v>0.4499893399</v>
      </c>
      <c r="D49" s="2">
        <f t="shared" si="9"/>
        <v>-0.00001066014335</v>
      </c>
      <c r="E49" s="4">
        <f t="shared" si="10"/>
        <v>-1</v>
      </c>
      <c r="F49" s="4">
        <f t="shared" si="16"/>
        <v>0.00048828125</v>
      </c>
      <c r="G49" s="2">
        <f t="shared" si="11"/>
        <v>1.753417969</v>
      </c>
      <c r="H49" s="4" t="str">
        <f t="shared" si="12"/>
        <v/>
      </c>
      <c r="I49" s="6">
        <f t="shared" si="13"/>
        <v>1.752929688</v>
      </c>
    </row>
    <row r="50">
      <c r="A50" s="4">
        <f t="shared" si="14"/>
        <v>17</v>
      </c>
      <c r="B50" s="4">
        <f t="shared" si="15"/>
        <v>1.753417969</v>
      </c>
      <c r="C50" s="4">
        <f t="shared" si="8"/>
        <v>0.4500324636</v>
      </c>
      <c r="D50" s="2">
        <f t="shared" si="9"/>
        <v>0.00003246359518</v>
      </c>
      <c r="E50" s="4">
        <f t="shared" si="10"/>
        <v>1</v>
      </c>
      <c r="F50" s="4">
        <f t="shared" si="16"/>
        <v>0.000244140625</v>
      </c>
      <c r="G50" s="4">
        <f t="shared" si="11"/>
        <v>1.753173828</v>
      </c>
      <c r="H50" s="4" t="str">
        <f t="shared" si="12"/>
        <v/>
      </c>
      <c r="I50" s="6">
        <f t="shared" si="13"/>
        <v>1.753417969</v>
      </c>
    </row>
    <row r="51">
      <c r="A51" s="4">
        <f t="shared" si="14"/>
        <v>18</v>
      </c>
      <c r="B51" s="2">
        <f t="shared" si="15"/>
        <v>1.753173828</v>
      </c>
      <c r="C51" s="4">
        <f t="shared" si="8"/>
        <v>0.4500109058</v>
      </c>
      <c r="D51" s="2">
        <f t="shared" si="9"/>
        <v>0.00001090581095</v>
      </c>
      <c r="E51" s="4">
        <f t="shared" si="10"/>
        <v>1</v>
      </c>
      <c r="F51" s="4">
        <f t="shared" si="16"/>
        <v>0.000244140625</v>
      </c>
      <c r="G51" s="2">
        <f t="shared" si="11"/>
        <v>1.752929688</v>
      </c>
      <c r="H51" s="4" t="str">
        <f t="shared" si="12"/>
        <v/>
      </c>
      <c r="I51" s="6">
        <f t="shared" si="13"/>
        <v>1.753173828</v>
      </c>
    </row>
    <row r="52">
      <c r="A52" s="4">
        <f t="shared" si="14"/>
        <v>19</v>
      </c>
      <c r="B52" s="4">
        <f t="shared" si="15"/>
        <v>1.752929688</v>
      </c>
      <c r="C52" s="4">
        <f t="shared" si="8"/>
        <v>0.4499893399</v>
      </c>
      <c r="D52" s="2">
        <f t="shared" si="9"/>
        <v>-0.00001066014335</v>
      </c>
      <c r="E52" s="4">
        <f t="shared" si="10"/>
        <v>-1</v>
      </c>
      <c r="F52" s="4">
        <f t="shared" si="16"/>
        <v>0.0001220703125</v>
      </c>
      <c r="G52" s="4">
        <f t="shared" si="11"/>
        <v>1.753051758</v>
      </c>
      <c r="H52" s="4" t="str">
        <f t="shared" si="12"/>
        <v/>
      </c>
      <c r="I52" s="6">
        <f t="shared" si="13"/>
        <v>1.752929688</v>
      </c>
    </row>
    <row r="53">
      <c r="A53" s="4">
        <f t="shared" si="14"/>
        <v>20</v>
      </c>
      <c r="B53" s="2">
        <f t="shared" si="15"/>
        <v>1.753051758</v>
      </c>
      <c r="C53" s="4">
        <f t="shared" si="8"/>
        <v>0.4500001239</v>
      </c>
      <c r="D53" s="2">
        <f t="shared" si="9"/>
        <v>0.0000001238552047</v>
      </c>
      <c r="E53" s="4">
        <f t="shared" si="10"/>
        <v>1</v>
      </c>
      <c r="F53" s="4">
        <f t="shared" si="16"/>
        <v>0.00006103515625</v>
      </c>
      <c r="G53" s="2">
        <f t="shared" si="11"/>
        <v>1.752990723</v>
      </c>
      <c r="H53" s="4" t="str">
        <f t="shared" si="12"/>
        <v>CONVERGED</v>
      </c>
      <c r="I53" s="6">
        <f t="shared" si="13"/>
        <v>1.753051758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8.5"/>
    <col customWidth="1" min="3" max="3" width="11.63"/>
    <col customWidth="1" min="4" max="4" width="16.25"/>
    <col customWidth="1" min="6" max="6" width="19.13"/>
  </cols>
  <sheetData>
    <row r="1">
      <c r="A1" s="1" t="s">
        <v>0</v>
      </c>
    </row>
    <row r="3">
      <c r="A3" s="2" t="s">
        <v>1</v>
      </c>
    </row>
    <row r="4">
      <c r="A4" s="2" t="s">
        <v>2</v>
      </c>
      <c r="B4" s="2">
        <v>0.495</v>
      </c>
    </row>
    <row r="5">
      <c r="A5" s="2" t="s">
        <v>3</v>
      </c>
      <c r="B5" s="2">
        <v>4.0</v>
      </c>
    </row>
    <row r="6">
      <c r="A6" s="2" t="s">
        <v>4</v>
      </c>
      <c r="B6" s="2">
        <v>1.0E-5</v>
      </c>
    </row>
    <row r="7">
      <c r="A7" s="2" t="s">
        <v>5</v>
      </c>
      <c r="B7" s="3">
        <v>1.0</v>
      </c>
    </row>
    <row r="8">
      <c r="A8" s="2" t="s">
        <v>6</v>
      </c>
      <c r="B8" s="2">
        <v>0.5</v>
      </c>
    </row>
    <row r="9">
      <c r="A9" s="1"/>
      <c r="B9" s="1"/>
    </row>
    <row r="10">
      <c r="A10" s="1" t="s">
        <v>7</v>
      </c>
    </row>
    <row r="11">
      <c r="A11" s="1" t="s">
        <v>8</v>
      </c>
      <c r="B11" s="4">
        <f t="array" ref="B11">IFERROR(INDIRECT("I" &amp; (ROW(A34)+MATCH(MIN(ABS($D$34:$D$53)), $D$34:$D$53, 0)-1)), $B$7)</f>
        <v>1</v>
      </c>
    </row>
    <row r="12">
      <c r="A12" s="2" t="s">
        <v>9</v>
      </c>
      <c r="B12" s="2">
        <v>10.0</v>
      </c>
    </row>
    <row r="13">
      <c r="A13" s="2" t="s">
        <v>10</v>
      </c>
      <c r="B13" s="2">
        <f>B11/B12</f>
        <v>0.1</v>
      </c>
    </row>
    <row r="14">
      <c r="A14" s="2" t="s">
        <v>11</v>
      </c>
      <c r="B14" s="4">
        <f>B13/3</f>
        <v>0.03333333333</v>
      </c>
    </row>
    <row r="15">
      <c r="A15" s="2" t="s">
        <v>12</v>
      </c>
      <c r="B15" s="4">
        <f>EXP(GAMMALN(($B$5+1)/2))/(($B$5*PI())^0.5*EXP(GAMMALN($B$5/2)))</f>
        <v>0.375</v>
      </c>
    </row>
    <row r="17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  <c r="G17" s="2" t="s">
        <v>19</v>
      </c>
    </row>
    <row r="18">
      <c r="A18" s="2">
        <v>0.0</v>
      </c>
      <c r="B18" s="2">
        <v>0.0</v>
      </c>
      <c r="C18" s="4">
        <f t="shared" ref="C18:C28" si="1">1+B18^2/$B$5</f>
        <v>1</v>
      </c>
      <c r="D18" s="4">
        <f t="shared" ref="D18:D28" si="2">C18^(-($B$5+1)/2)</f>
        <v>1</v>
      </c>
      <c r="E18" s="4">
        <f t="shared" ref="E18:E28" si="3">$B$15*D18</f>
        <v>0.375</v>
      </c>
      <c r="F18" s="2">
        <v>1.0</v>
      </c>
      <c r="G18" s="2">
        <f>($B$15*(1+(B18)^2/$B$5)^(-($B$5+1)/2))*1*$B$14</f>
        <v>0.0125</v>
      </c>
    </row>
    <row r="19">
      <c r="A19" s="4">
        <f t="shared" ref="A19:A28" si="4">A18+1</f>
        <v>1</v>
      </c>
      <c r="B19" s="4">
        <f t="shared" ref="B19:B28" si="5">B18+$B$13</f>
        <v>0.1</v>
      </c>
      <c r="C19" s="4">
        <f t="shared" si="1"/>
        <v>1.0025</v>
      </c>
      <c r="D19" s="4">
        <f t="shared" si="2"/>
        <v>0.9937772416</v>
      </c>
      <c r="E19" s="4">
        <f t="shared" si="3"/>
        <v>0.3726664656</v>
      </c>
      <c r="F19" s="4">
        <f t="shared" ref="F19:F27" si="6">IF(MOD(A19,2)=1,4,2)</f>
        <v>4</v>
      </c>
      <c r="G19" s="4">
        <f t="shared" ref="G19:G27" si="7">($B$15*(1+(B19)^2/$B$5)^(-($B$5+1)/2))*IF(MOD(A19,2)=1,4,2)*$B$14</f>
        <v>0.04968886208</v>
      </c>
    </row>
    <row r="20">
      <c r="A20" s="4">
        <f t="shared" si="4"/>
        <v>2</v>
      </c>
      <c r="B20" s="4">
        <f t="shared" si="5"/>
        <v>0.2</v>
      </c>
      <c r="C20" s="4">
        <f t="shared" si="1"/>
        <v>1.01</v>
      </c>
      <c r="D20" s="4">
        <f t="shared" si="2"/>
        <v>0.9754310266</v>
      </c>
      <c r="E20" s="4">
        <f t="shared" si="3"/>
        <v>0.365786635</v>
      </c>
      <c r="F20" s="4">
        <f t="shared" si="6"/>
        <v>2</v>
      </c>
      <c r="G20" s="4">
        <f t="shared" si="7"/>
        <v>0.02438577566</v>
      </c>
    </row>
    <row r="21">
      <c r="A21" s="4">
        <f t="shared" si="4"/>
        <v>3</v>
      </c>
      <c r="B21" s="4">
        <f t="shared" si="5"/>
        <v>0.3</v>
      </c>
      <c r="C21" s="4">
        <f t="shared" si="1"/>
        <v>1.0225</v>
      </c>
      <c r="D21" s="4">
        <f t="shared" si="2"/>
        <v>0.9458923396</v>
      </c>
      <c r="E21" s="4">
        <f t="shared" si="3"/>
        <v>0.3547096273</v>
      </c>
      <c r="F21" s="4">
        <f t="shared" si="6"/>
        <v>4</v>
      </c>
      <c r="G21" s="4">
        <f t="shared" si="7"/>
        <v>0.04729461698</v>
      </c>
    </row>
    <row r="22">
      <c r="A22" s="4">
        <f t="shared" si="4"/>
        <v>4</v>
      </c>
      <c r="B22" s="4">
        <f t="shared" si="5"/>
        <v>0.4</v>
      </c>
      <c r="C22" s="4">
        <f t="shared" si="1"/>
        <v>1.04</v>
      </c>
      <c r="D22" s="4">
        <f t="shared" si="2"/>
        <v>0.9066019561</v>
      </c>
      <c r="E22" s="4">
        <f t="shared" si="3"/>
        <v>0.3399757335</v>
      </c>
      <c r="F22" s="4">
        <f t="shared" si="6"/>
        <v>2</v>
      </c>
      <c r="G22" s="4">
        <f t="shared" si="7"/>
        <v>0.0226650489</v>
      </c>
    </row>
    <row r="23">
      <c r="A23" s="4">
        <f t="shared" si="4"/>
        <v>5</v>
      </c>
      <c r="B23" s="4">
        <f t="shared" si="5"/>
        <v>0.5</v>
      </c>
      <c r="C23" s="4">
        <f t="shared" si="1"/>
        <v>1.0625</v>
      </c>
      <c r="D23" s="4">
        <f t="shared" si="2"/>
        <v>0.8593649828</v>
      </c>
      <c r="E23" s="4">
        <f t="shared" si="3"/>
        <v>0.3222618686</v>
      </c>
      <c r="F23" s="4">
        <f t="shared" si="6"/>
        <v>4</v>
      </c>
      <c r="G23" s="4">
        <f t="shared" si="7"/>
        <v>0.04296824914</v>
      </c>
    </row>
    <row r="24">
      <c r="A24" s="4">
        <f t="shared" si="4"/>
        <v>6</v>
      </c>
      <c r="B24" s="4">
        <f t="shared" si="5"/>
        <v>0.6</v>
      </c>
      <c r="C24" s="4">
        <f t="shared" si="1"/>
        <v>1.09</v>
      </c>
      <c r="D24" s="4">
        <f t="shared" si="2"/>
        <v>0.8061832213</v>
      </c>
      <c r="E24" s="4">
        <f t="shared" si="3"/>
        <v>0.302318708</v>
      </c>
      <c r="F24" s="4">
        <f t="shared" si="6"/>
        <v>2</v>
      </c>
      <c r="G24" s="4">
        <f t="shared" si="7"/>
        <v>0.02015458053</v>
      </c>
    </row>
    <row r="25">
      <c r="A25" s="4">
        <f t="shared" si="4"/>
        <v>7</v>
      </c>
      <c r="B25" s="4">
        <f t="shared" si="5"/>
        <v>0.7</v>
      </c>
      <c r="C25" s="4">
        <f t="shared" si="1"/>
        <v>1.1225</v>
      </c>
      <c r="D25" s="4">
        <f t="shared" si="2"/>
        <v>0.7490902179</v>
      </c>
      <c r="E25" s="4">
        <f t="shared" si="3"/>
        <v>0.2809088317</v>
      </c>
      <c r="F25" s="4">
        <f t="shared" si="6"/>
        <v>4</v>
      </c>
      <c r="G25" s="4">
        <f t="shared" si="7"/>
        <v>0.03745451089</v>
      </c>
    </row>
    <row r="26">
      <c r="A26" s="4">
        <f t="shared" si="4"/>
        <v>8</v>
      </c>
      <c r="B26" s="4">
        <f t="shared" si="5"/>
        <v>0.8</v>
      </c>
      <c r="C26" s="4">
        <f t="shared" si="1"/>
        <v>1.16</v>
      </c>
      <c r="D26" s="4">
        <f t="shared" si="2"/>
        <v>0.6900094314</v>
      </c>
      <c r="E26" s="4">
        <f t="shared" si="3"/>
        <v>0.2587535368</v>
      </c>
      <c r="F26" s="4">
        <f t="shared" si="6"/>
        <v>2</v>
      </c>
      <c r="G26" s="4">
        <f t="shared" si="7"/>
        <v>0.01725023578</v>
      </c>
    </row>
    <row r="27">
      <c r="A27" s="4">
        <f t="shared" si="4"/>
        <v>9</v>
      </c>
      <c r="B27" s="4">
        <f t="shared" si="5"/>
        <v>0.9</v>
      </c>
      <c r="C27" s="4">
        <f t="shared" si="1"/>
        <v>1.2025</v>
      </c>
      <c r="D27" s="4">
        <f t="shared" si="2"/>
        <v>0.6306483842</v>
      </c>
      <c r="E27" s="4">
        <f t="shared" si="3"/>
        <v>0.2364931441</v>
      </c>
      <c r="F27" s="4">
        <f t="shared" si="6"/>
        <v>4</v>
      </c>
      <c r="G27" s="4">
        <f t="shared" si="7"/>
        <v>0.03153241921</v>
      </c>
    </row>
    <row r="28">
      <c r="A28" s="5">
        <f t="shared" si="4"/>
        <v>10</v>
      </c>
      <c r="B28" s="4">
        <f t="shared" si="5"/>
        <v>1</v>
      </c>
      <c r="C28" s="4">
        <f t="shared" si="1"/>
        <v>1.25</v>
      </c>
      <c r="D28" s="4">
        <f t="shared" si="2"/>
        <v>0.5724334022</v>
      </c>
      <c r="E28" s="4">
        <f t="shared" si="3"/>
        <v>0.2146625258</v>
      </c>
      <c r="F28" s="2">
        <v>1.0</v>
      </c>
      <c r="G28" s="2">
        <f>($B$15*(1+(B28)^2/$B$5)^(-($B$5+1)/2))*1*$B$14</f>
        <v>0.007155417528</v>
      </c>
    </row>
    <row r="29">
      <c r="F29" s="2" t="s">
        <v>20</v>
      </c>
      <c r="G29" s="4">
        <f>SUM(G18:G28)</f>
        <v>0.3130497167</v>
      </c>
    </row>
    <row r="32">
      <c r="A32" s="2" t="s">
        <v>21</v>
      </c>
    </row>
    <row r="33">
      <c r="A33" s="2" t="s">
        <v>22</v>
      </c>
      <c r="B33" s="2" t="s">
        <v>23</v>
      </c>
      <c r="C33" s="2" t="s">
        <v>24</v>
      </c>
      <c r="D33" s="2" t="s">
        <v>25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30</v>
      </c>
    </row>
    <row r="34">
      <c r="A34" s="5">
        <v>1.0</v>
      </c>
      <c r="B34" s="4">
        <f>$B$7</f>
        <v>1</v>
      </c>
      <c r="C34" s="4">
        <f t="shared" ref="C34:C53" si="8">0.5*(1 - _xlfn.T.DIST.2T(B34, $B$5))</f>
        <v>0.3130495168</v>
      </c>
      <c r="D34" s="4">
        <f t="shared" ref="D34:D53" si="9">C34-$B$4</f>
        <v>-0.1819504832</v>
      </c>
      <c r="E34" s="4">
        <f t="shared" ref="E34:E53" si="10">SIGN(D34)</f>
        <v>-1</v>
      </c>
      <c r="F34" s="4">
        <f>$B$8</f>
        <v>0.5</v>
      </c>
      <c r="G34" s="4">
        <f t="shared" ref="G34:G53" si="11">IF(D34&gt;0, B34-F34, B34+F34)</f>
        <v>1.5</v>
      </c>
      <c r="H34" s="6" t="str">
        <f t="shared" ref="H34:H53" si="12">IF(ABS(D34)&lt;$B$6,"CONVERGED","")</f>
        <v/>
      </c>
      <c r="I34" s="6">
        <f t="shared" ref="I34:I53" si="13">B34</f>
        <v>1</v>
      </c>
    </row>
    <row r="35">
      <c r="A35" s="4">
        <f t="shared" ref="A35:A53" si="14">A34+1</f>
        <v>2</v>
      </c>
      <c r="B35" s="2">
        <f t="shared" ref="B35:B53" si="15">IF(D34&gt;0, B34-F34, B34+F34)</f>
        <v>1.5</v>
      </c>
      <c r="C35" s="4">
        <f t="shared" si="8"/>
        <v>0.396</v>
      </c>
      <c r="D35" s="2">
        <f t="shared" si="9"/>
        <v>-0.099</v>
      </c>
      <c r="E35" s="4">
        <f t="shared" si="10"/>
        <v>-1</v>
      </c>
      <c r="F35" s="4">
        <f t="shared" ref="F35:F53" si="16">IF(E35&lt;&gt;E34, F34/2, F34)</f>
        <v>0.5</v>
      </c>
      <c r="G35" s="2">
        <f t="shared" si="11"/>
        <v>2</v>
      </c>
      <c r="H35" s="4" t="str">
        <f t="shared" si="12"/>
        <v/>
      </c>
      <c r="I35" s="6">
        <f t="shared" si="13"/>
        <v>1.5</v>
      </c>
    </row>
    <row r="36">
      <c r="A36" s="4">
        <f t="shared" si="14"/>
        <v>3</v>
      </c>
      <c r="B36" s="4">
        <f t="shared" si="15"/>
        <v>2</v>
      </c>
      <c r="C36" s="4">
        <f t="shared" si="8"/>
        <v>0.4419417382</v>
      </c>
      <c r="D36" s="2">
        <f t="shared" si="9"/>
        <v>-0.05305826176</v>
      </c>
      <c r="E36" s="4">
        <f t="shared" si="10"/>
        <v>-1</v>
      </c>
      <c r="F36" s="4">
        <f t="shared" si="16"/>
        <v>0.5</v>
      </c>
      <c r="G36" s="4">
        <f t="shared" si="11"/>
        <v>2.5</v>
      </c>
      <c r="H36" s="4" t="str">
        <f t="shared" si="12"/>
        <v/>
      </c>
      <c r="I36" s="6">
        <f t="shared" si="13"/>
        <v>2</v>
      </c>
    </row>
    <row r="37">
      <c r="A37" s="4">
        <f t="shared" si="14"/>
        <v>4</v>
      </c>
      <c r="B37" s="2">
        <f t="shared" si="15"/>
        <v>2.5</v>
      </c>
      <c r="C37" s="4">
        <f t="shared" si="8"/>
        <v>0.4666167276</v>
      </c>
      <c r="D37" s="2">
        <f t="shared" si="9"/>
        <v>-0.02838327241</v>
      </c>
      <c r="E37" s="4">
        <f t="shared" si="10"/>
        <v>-1</v>
      </c>
      <c r="F37" s="4">
        <f t="shared" si="16"/>
        <v>0.5</v>
      </c>
      <c r="G37" s="2">
        <f t="shared" si="11"/>
        <v>3</v>
      </c>
      <c r="H37" s="4" t="str">
        <f t="shared" si="12"/>
        <v/>
      </c>
      <c r="I37" s="6">
        <f t="shared" si="13"/>
        <v>2.5</v>
      </c>
    </row>
    <row r="38">
      <c r="A38" s="4">
        <f t="shared" si="14"/>
        <v>5</v>
      </c>
      <c r="B38" s="4">
        <f t="shared" si="15"/>
        <v>3</v>
      </c>
      <c r="C38" s="4">
        <f t="shared" si="8"/>
        <v>0.480029016</v>
      </c>
      <c r="D38" s="2">
        <f t="shared" si="9"/>
        <v>-0.01497098404</v>
      </c>
      <c r="E38" s="4">
        <f t="shared" si="10"/>
        <v>-1</v>
      </c>
      <c r="F38" s="4">
        <f t="shared" si="16"/>
        <v>0.5</v>
      </c>
      <c r="G38" s="4">
        <f t="shared" si="11"/>
        <v>3.5</v>
      </c>
      <c r="H38" s="4" t="str">
        <f t="shared" si="12"/>
        <v/>
      </c>
      <c r="I38" s="6">
        <f t="shared" si="13"/>
        <v>3</v>
      </c>
    </row>
    <row r="39">
      <c r="A39" s="4">
        <f t="shared" si="14"/>
        <v>6</v>
      </c>
      <c r="B39" s="2">
        <f t="shared" si="15"/>
        <v>3.5</v>
      </c>
      <c r="C39" s="4">
        <f t="shared" si="8"/>
        <v>0.4875519183</v>
      </c>
      <c r="D39" s="2">
        <f t="shared" si="9"/>
        <v>-0.00744808173</v>
      </c>
      <c r="E39" s="4">
        <f t="shared" si="10"/>
        <v>-1</v>
      </c>
      <c r="F39" s="4">
        <f t="shared" si="16"/>
        <v>0.5</v>
      </c>
      <c r="G39" s="2">
        <f t="shared" si="11"/>
        <v>4</v>
      </c>
      <c r="H39" s="4" t="str">
        <f t="shared" si="12"/>
        <v/>
      </c>
      <c r="I39" s="6">
        <f t="shared" si="13"/>
        <v>3.5</v>
      </c>
    </row>
    <row r="40">
      <c r="A40" s="4">
        <f t="shared" si="14"/>
        <v>7</v>
      </c>
      <c r="B40" s="4">
        <f t="shared" si="15"/>
        <v>4</v>
      </c>
      <c r="C40" s="4">
        <f t="shared" si="8"/>
        <v>0.491934955</v>
      </c>
      <c r="D40" s="2">
        <f t="shared" si="9"/>
        <v>-0.00306504495</v>
      </c>
      <c r="E40" s="4">
        <f t="shared" si="10"/>
        <v>-1</v>
      </c>
      <c r="F40" s="4">
        <f t="shared" si="16"/>
        <v>0.5</v>
      </c>
      <c r="G40" s="4">
        <f t="shared" si="11"/>
        <v>4.5</v>
      </c>
      <c r="H40" s="4" t="str">
        <f t="shared" si="12"/>
        <v/>
      </c>
      <c r="I40" s="6">
        <f t="shared" si="13"/>
        <v>4</v>
      </c>
    </row>
    <row r="41">
      <c r="A41" s="4">
        <f t="shared" si="14"/>
        <v>8</v>
      </c>
      <c r="B41" s="2">
        <f t="shared" si="15"/>
        <v>4.5</v>
      </c>
      <c r="C41" s="4">
        <f t="shared" si="8"/>
        <v>0.4945887248</v>
      </c>
      <c r="D41" s="2">
        <f t="shared" si="9"/>
        <v>-0.0004112752313</v>
      </c>
      <c r="E41" s="4">
        <f t="shared" si="10"/>
        <v>-1</v>
      </c>
      <c r="F41" s="4">
        <f t="shared" si="16"/>
        <v>0.5</v>
      </c>
      <c r="G41" s="2">
        <f t="shared" si="11"/>
        <v>5</v>
      </c>
      <c r="H41" s="4" t="str">
        <f t="shared" si="12"/>
        <v/>
      </c>
      <c r="I41" s="6">
        <f t="shared" si="13"/>
        <v>4.5</v>
      </c>
    </row>
    <row r="42">
      <c r="A42" s="4">
        <f t="shared" si="14"/>
        <v>9</v>
      </c>
      <c r="B42" s="4">
        <f t="shared" si="15"/>
        <v>5</v>
      </c>
      <c r="C42" s="4">
        <f t="shared" si="8"/>
        <v>0.4962547831</v>
      </c>
      <c r="D42" s="2">
        <f t="shared" si="9"/>
        <v>0.001254783059</v>
      </c>
      <c r="E42" s="4">
        <f t="shared" si="10"/>
        <v>1</v>
      </c>
      <c r="F42" s="4">
        <f t="shared" si="16"/>
        <v>0.25</v>
      </c>
      <c r="G42" s="4">
        <f t="shared" si="11"/>
        <v>4.75</v>
      </c>
      <c r="H42" s="4" t="str">
        <f t="shared" si="12"/>
        <v/>
      </c>
      <c r="I42" s="6">
        <f t="shared" si="13"/>
        <v>5</v>
      </c>
    </row>
    <row r="43">
      <c r="A43" s="4">
        <f t="shared" si="14"/>
        <v>10</v>
      </c>
      <c r="B43" s="2">
        <f t="shared" si="15"/>
        <v>4.75</v>
      </c>
      <c r="C43" s="4">
        <f t="shared" si="8"/>
        <v>0.4955145488</v>
      </c>
      <c r="D43" s="2">
        <f t="shared" si="9"/>
        <v>0.0005145487507</v>
      </c>
      <c r="E43" s="4">
        <f t="shared" si="10"/>
        <v>1</v>
      </c>
      <c r="F43" s="4">
        <f t="shared" si="16"/>
        <v>0.25</v>
      </c>
      <c r="G43" s="2">
        <f t="shared" si="11"/>
        <v>4.5</v>
      </c>
      <c r="H43" s="4" t="str">
        <f t="shared" si="12"/>
        <v/>
      </c>
      <c r="I43" s="6">
        <f t="shared" si="13"/>
        <v>4.75</v>
      </c>
    </row>
    <row r="44">
      <c r="A44" s="4">
        <f t="shared" si="14"/>
        <v>11</v>
      </c>
      <c r="B44" s="4">
        <f t="shared" si="15"/>
        <v>4.5</v>
      </c>
      <c r="C44" s="4">
        <f t="shared" si="8"/>
        <v>0.4945887248</v>
      </c>
      <c r="D44" s="2">
        <f t="shared" si="9"/>
        <v>-0.0004112752313</v>
      </c>
      <c r="E44" s="4">
        <f t="shared" si="10"/>
        <v>-1</v>
      </c>
      <c r="F44" s="4">
        <f t="shared" si="16"/>
        <v>0.125</v>
      </c>
      <c r="G44" s="4">
        <f t="shared" si="11"/>
        <v>4.625</v>
      </c>
      <c r="H44" s="4" t="str">
        <f t="shared" si="12"/>
        <v/>
      </c>
      <c r="I44" s="6">
        <f t="shared" si="13"/>
        <v>4.5</v>
      </c>
    </row>
    <row r="45">
      <c r="A45" s="4">
        <f t="shared" si="14"/>
        <v>12</v>
      </c>
      <c r="B45" s="2">
        <f t="shared" si="15"/>
        <v>4.625</v>
      </c>
      <c r="C45" s="4">
        <f t="shared" si="8"/>
        <v>0.4950779643</v>
      </c>
      <c r="D45" s="2">
        <f t="shared" si="9"/>
        <v>0.00007796431942</v>
      </c>
      <c r="E45" s="4">
        <f t="shared" si="10"/>
        <v>1</v>
      </c>
      <c r="F45" s="4">
        <f t="shared" si="16"/>
        <v>0.0625</v>
      </c>
      <c r="G45" s="2">
        <f t="shared" si="11"/>
        <v>4.5625</v>
      </c>
      <c r="H45" s="4" t="str">
        <f t="shared" si="12"/>
        <v/>
      </c>
      <c r="I45" s="6">
        <f t="shared" si="13"/>
        <v>4.625</v>
      </c>
    </row>
    <row r="46">
      <c r="A46" s="4">
        <f t="shared" si="14"/>
        <v>13</v>
      </c>
      <c r="B46" s="4">
        <f t="shared" si="15"/>
        <v>4.5625</v>
      </c>
      <c r="C46" s="4">
        <f t="shared" si="8"/>
        <v>0.4948403701</v>
      </c>
      <c r="D46" s="2">
        <f t="shared" si="9"/>
        <v>-0.0001596299198</v>
      </c>
      <c r="E46" s="4">
        <f t="shared" si="10"/>
        <v>-1</v>
      </c>
      <c r="F46" s="4">
        <f t="shared" si="16"/>
        <v>0.03125</v>
      </c>
      <c r="G46" s="4">
        <f t="shared" si="11"/>
        <v>4.59375</v>
      </c>
      <c r="H46" s="4" t="str">
        <f t="shared" si="12"/>
        <v/>
      </c>
      <c r="I46" s="6">
        <f t="shared" si="13"/>
        <v>4.5625</v>
      </c>
    </row>
    <row r="47">
      <c r="A47" s="4">
        <f t="shared" si="14"/>
        <v>14</v>
      </c>
      <c r="B47" s="2">
        <f t="shared" si="15"/>
        <v>4.59375</v>
      </c>
      <c r="C47" s="4">
        <f t="shared" si="8"/>
        <v>0.4949608655</v>
      </c>
      <c r="D47" s="2">
        <f t="shared" si="9"/>
        <v>-0.000039134471</v>
      </c>
      <c r="E47" s="4">
        <f t="shared" si="10"/>
        <v>-1</v>
      </c>
      <c r="F47" s="4">
        <f t="shared" si="16"/>
        <v>0.03125</v>
      </c>
      <c r="G47" s="2">
        <f t="shared" si="11"/>
        <v>4.625</v>
      </c>
      <c r="H47" s="4" t="str">
        <f t="shared" si="12"/>
        <v/>
      </c>
      <c r="I47" s="6">
        <f t="shared" si="13"/>
        <v>4.59375</v>
      </c>
    </row>
    <row r="48">
      <c r="A48" s="4">
        <f t="shared" si="14"/>
        <v>15</v>
      </c>
      <c r="B48" s="4">
        <f t="shared" si="15"/>
        <v>4.625</v>
      </c>
      <c r="C48" s="4">
        <f t="shared" si="8"/>
        <v>0.4950779643</v>
      </c>
      <c r="D48" s="2">
        <f t="shared" si="9"/>
        <v>0.00007796431942</v>
      </c>
      <c r="E48" s="4">
        <f t="shared" si="10"/>
        <v>1</v>
      </c>
      <c r="F48" s="4">
        <f t="shared" si="16"/>
        <v>0.015625</v>
      </c>
      <c r="G48" s="4">
        <f t="shared" si="11"/>
        <v>4.609375</v>
      </c>
      <c r="H48" s="4" t="str">
        <f t="shared" si="12"/>
        <v/>
      </c>
      <c r="I48" s="6">
        <f t="shared" si="13"/>
        <v>4.625</v>
      </c>
    </row>
    <row r="49">
      <c r="A49" s="4">
        <f t="shared" si="14"/>
        <v>16</v>
      </c>
      <c r="B49" s="2">
        <f t="shared" si="15"/>
        <v>4.609375</v>
      </c>
      <c r="C49" s="4">
        <f t="shared" si="8"/>
        <v>0.4950198325</v>
      </c>
      <c r="D49" s="2">
        <f t="shared" si="9"/>
        <v>0.00001983248546</v>
      </c>
      <c r="E49" s="4">
        <f t="shared" si="10"/>
        <v>1</v>
      </c>
      <c r="F49" s="4">
        <f t="shared" si="16"/>
        <v>0.015625</v>
      </c>
      <c r="G49" s="2">
        <f t="shared" si="11"/>
        <v>4.59375</v>
      </c>
      <c r="H49" s="4" t="str">
        <f t="shared" si="12"/>
        <v/>
      </c>
      <c r="I49" s="6">
        <f t="shared" si="13"/>
        <v>4.609375</v>
      </c>
    </row>
    <row r="50">
      <c r="A50" s="4">
        <f t="shared" si="14"/>
        <v>17</v>
      </c>
      <c r="B50" s="4">
        <f t="shared" si="15"/>
        <v>4.59375</v>
      </c>
      <c r="C50" s="4">
        <f t="shared" si="8"/>
        <v>0.4949608655</v>
      </c>
      <c r="D50" s="2">
        <f t="shared" si="9"/>
        <v>-0.000039134471</v>
      </c>
      <c r="E50" s="4">
        <f t="shared" si="10"/>
        <v>-1</v>
      </c>
      <c r="F50" s="4">
        <f t="shared" si="16"/>
        <v>0.0078125</v>
      </c>
      <c r="G50" s="4">
        <f t="shared" si="11"/>
        <v>4.6015625</v>
      </c>
      <c r="H50" s="4" t="str">
        <f t="shared" si="12"/>
        <v/>
      </c>
      <c r="I50" s="6">
        <f t="shared" si="13"/>
        <v>4.59375</v>
      </c>
    </row>
    <row r="51">
      <c r="A51" s="4">
        <f t="shared" si="14"/>
        <v>18</v>
      </c>
      <c r="B51" s="2">
        <f t="shared" si="15"/>
        <v>4.6015625</v>
      </c>
      <c r="C51" s="4">
        <f t="shared" si="8"/>
        <v>0.4949904543</v>
      </c>
      <c r="D51" s="2">
        <f t="shared" si="9"/>
        <v>-0.000009545735072</v>
      </c>
      <c r="E51" s="4">
        <f t="shared" si="10"/>
        <v>-1</v>
      </c>
      <c r="F51" s="4">
        <f t="shared" si="16"/>
        <v>0.0078125</v>
      </c>
      <c r="G51" s="2">
        <f t="shared" si="11"/>
        <v>4.609375</v>
      </c>
      <c r="H51" s="4" t="str">
        <f t="shared" si="12"/>
        <v>CONVERGED</v>
      </c>
      <c r="I51" s="6">
        <f t="shared" si="13"/>
        <v>4.6015625</v>
      </c>
    </row>
    <row r="52">
      <c r="A52" s="4">
        <f t="shared" si="14"/>
        <v>19</v>
      </c>
      <c r="B52" s="4">
        <f t="shared" si="15"/>
        <v>4.609375</v>
      </c>
      <c r="C52" s="4">
        <f t="shared" si="8"/>
        <v>0.4950198325</v>
      </c>
      <c r="D52" s="2">
        <f t="shared" si="9"/>
        <v>0.00001983248546</v>
      </c>
      <c r="E52" s="4">
        <f t="shared" si="10"/>
        <v>1</v>
      </c>
      <c r="F52" s="4">
        <f t="shared" si="16"/>
        <v>0.00390625</v>
      </c>
      <c r="G52" s="4">
        <f t="shared" si="11"/>
        <v>4.60546875</v>
      </c>
      <c r="H52" s="4" t="str">
        <f t="shared" si="12"/>
        <v/>
      </c>
      <c r="I52" s="6">
        <f t="shared" si="13"/>
        <v>4.609375</v>
      </c>
    </row>
    <row r="53">
      <c r="A53" s="4">
        <f t="shared" si="14"/>
        <v>20</v>
      </c>
      <c r="B53" s="2">
        <f t="shared" si="15"/>
        <v>4.60546875</v>
      </c>
      <c r="C53" s="4">
        <f t="shared" si="8"/>
        <v>0.4950051696</v>
      </c>
      <c r="D53" s="2">
        <f t="shared" si="9"/>
        <v>0.000005169580563</v>
      </c>
      <c r="E53" s="4">
        <f t="shared" si="10"/>
        <v>1</v>
      </c>
      <c r="F53" s="4">
        <f t="shared" si="16"/>
        <v>0.00390625</v>
      </c>
      <c r="G53" s="2">
        <f t="shared" si="11"/>
        <v>4.6015625</v>
      </c>
      <c r="H53" s="4" t="str">
        <f t="shared" si="12"/>
        <v>CONVERGED</v>
      </c>
      <c r="I53" s="6">
        <f t="shared" si="13"/>
        <v>4.60546875</v>
      </c>
    </row>
  </sheetData>
  <drawing r:id="rId1"/>
</worksheet>
</file>